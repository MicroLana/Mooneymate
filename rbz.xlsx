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autoCompressPictures="0"/>
  <bookViews>
    <workbookView xWindow="0" yWindow="0" windowWidth="25600" windowHeight="16060" tabRatio="836" firstSheet="3" activeTab="6"/>
  </bookViews>
  <sheets>
    <sheet name="COVER SHEET" sheetId="1" r:id="rId1"/>
    <sheet name="COMPREHENSIVE INCOME" sheetId="2" r:id="rId2"/>
    <sheet name="STATEMENT OF FIN POSITION " sheetId="3" r:id="rId3"/>
    <sheet name="SCHEDULE 1 INSIDER LOANS" sheetId="4" r:id="rId4"/>
    <sheet name="SCHEDULE 2 LONG TERM DEBT " sheetId="5" r:id="rId5"/>
    <sheet name="SCHEDULE 3 ASSET QUALITY" sheetId="6" r:id="rId6"/>
    <sheet name="SCHEDULE 4 DISTRIBUTION " sheetId="7" r:id="rId7"/>
    <sheet name="SCHEDULE 5 GENDER DISTRIBUTION " sheetId="8" r:id="rId8"/>
    <sheet name="SCHEDULE 6 MATURITY PROF" sheetId="9" r:id="rId9"/>
    <sheet name="SCHEDULE 7 TOP 20 BORROW  " sheetId="10" r:id="rId10"/>
    <sheet name="SCHEDULE 8" sheetId="11" r:id="rId11"/>
    <sheet name="SCHEDULE 9 CO. PROFILE " sheetId="12" r:id="rId12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1" i="3" l="1"/>
  <c r="B17" i="12"/>
  <c r="B16" i="12"/>
  <c r="B11" i="12"/>
  <c r="B6" i="3"/>
  <c r="B6" i="4"/>
  <c r="B6" i="5"/>
  <c r="B6" i="6"/>
  <c r="B6" i="7"/>
  <c r="B6" i="8"/>
  <c r="B6" i="9"/>
  <c r="B6" i="10"/>
  <c r="B9" i="11"/>
  <c r="B6" i="12"/>
  <c r="B5" i="3"/>
  <c r="B5" i="4"/>
  <c r="B5" i="5"/>
  <c r="B5" i="6"/>
  <c r="B5" i="7"/>
  <c r="B5" i="8"/>
  <c r="B5" i="9"/>
  <c r="B5" i="10"/>
  <c r="B8" i="11"/>
  <c r="B5" i="12"/>
  <c r="B4" i="3"/>
  <c r="B4" i="4"/>
  <c r="B4" i="5"/>
  <c r="B4" i="6"/>
  <c r="B4" i="7"/>
  <c r="B4" i="8"/>
  <c r="B4" i="9"/>
  <c r="B4" i="10"/>
  <c r="B7" i="11"/>
  <c r="B4" i="12"/>
  <c r="B3" i="12"/>
  <c r="B45" i="11"/>
  <c r="C20" i="11"/>
  <c r="B3" i="3"/>
  <c r="B3" i="4"/>
  <c r="B3" i="5"/>
  <c r="B3" i="6"/>
  <c r="B3" i="7"/>
  <c r="B3" i="8"/>
  <c r="B3" i="9"/>
  <c r="B3" i="10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B11" i="9"/>
  <c r="C11" i="9"/>
  <c r="D11" i="9"/>
  <c r="E11" i="9"/>
  <c r="D10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C10" i="8"/>
  <c r="B10" i="8"/>
  <c r="D10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C10" i="7"/>
  <c r="B10" i="7"/>
  <c r="C12" i="6"/>
  <c r="E12" i="6"/>
  <c r="C16" i="6"/>
  <c r="E16" i="6"/>
  <c r="E34" i="6"/>
  <c r="C20" i="6"/>
  <c r="E20" i="6"/>
  <c r="C24" i="6"/>
  <c r="E24" i="6"/>
  <c r="C28" i="6"/>
  <c r="E28" i="6"/>
  <c r="E33" i="6"/>
  <c r="E32" i="6"/>
  <c r="C32" i="6"/>
  <c r="E31" i="6"/>
  <c r="E30" i="6"/>
  <c r="E29" i="6"/>
  <c r="E27" i="6"/>
  <c r="E26" i="6"/>
  <c r="E25" i="6"/>
  <c r="E23" i="6"/>
  <c r="E22" i="6"/>
  <c r="E21" i="6"/>
  <c r="E19" i="6"/>
  <c r="E18" i="6"/>
  <c r="E17" i="6"/>
  <c r="E15" i="6"/>
  <c r="E14" i="6"/>
  <c r="E13" i="6"/>
  <c r="C47" i="3"/>
  <c r="C54" i="3"/>
  <c r="C58" i="3"/>
  <c r="C62" i="3"/>
  <c r="C11" i="2"/>
  <c r="C15" i="2"/>
  <c r="C25" i="2"/>
  <c r="C26" i="2"/>
  <c r="C31" i="2"/>
  <c r="C40" i="2"/>
  <c r="C37" i="2"/>
  <c r="C32" i="2"/>
  <c r="C49" i="2"/>
  <c r="C50" i="2"/>
  <c r="C52" i="2"/>
  <c r="C54" i="2"/>
  <c r="C56" i="2"/>
  <c r="C58" i="2"/>
  <c r="C62" i="2"/>
  <c r="C73" i="3"/>
  <c r="C72" i="3"/>
  <c r="C64" i="3"/>
  <c r="C75" i="3"/>
  <c r="C13" i="3"/>
  <c r="C32" i="3"/>
  <c r="C19" i="3"/>
  <c r="C34" i="3"/>
  <c r="C36" i="3"/>
  <c r="C37" i="3"/>
  <c r="C44" i="3"/>
  <c r="C36" i="2"/>
</calcChain>
</file>

<file path=xl/sharedStrings.xml><?xml version="1.0" encoding="utf-8"?>
<sst xmlns="http://schemas.openxmlformats.org/spreadsheetml/2006/main" count="394" uniqueCount="307">
  <si>
    <t>RESERVE BANK OF ZIMBABWE</t>
  </si>
  <si>
    <t>Licence Number:  000595</t>
  </si>
  <si>
    <r>
      <t xml:space="preserve">RETURN ON CONDITION AND PERFORMANCE OF MICROFINANCE /MONEYLENDING INSTITUTIONS  </t>
    </r>
    <r>
      <rPr>
        <b/>
        <sz val="14"/>
        <rFont val="Arial"/>
        <family val="2"/>
        <charset val="1"/>
      </rPr>
      <t>(Form MFI 1)</t>
    </r>
  </si>
  <si>
    <t>NOTE:</t>
  </si>
  <si>
    <t>1. The return must be signed by the CEO/Managing Director and Chief Accounting Officer</t>
  </si>
  <si>
    <t>2. The return is to be prepared in accordance with the instructions provided by the RBZ</t>
  </si>
  <si>
    <t>3. The return is due as at the close of business on the last calendar day of the quarter</t>
  </si>
  <si>
    <t>4. Reporting is on a cummulative basis for the reporting year, unless specified</t>
  </si>
  <si>
    <t>NAME OF REPORTING INSTITUTION:</t>
  </si>
  <si>
    <t>ABC MONEYLENDERS (PRIVATE) LIMITED</t>
  </si>
  <si>
    <t>DATE OF REPORT:</t>
  </si>
  <si>
    <t>We, the undersigned officials:</t>
  </si>
  <si>
    <t>Name and Signature of Chief Executive Officer/Managing Director</t>
  </si>
  <si>
    <t>WILLIAM WILEY</t>
  </si>
  <si>
    <t>……………………………..</t>
  </si>
  <si>
    <t>Name and Signature of Chief Accounting Officer</t>
  </si>
  <si>
    <t>SHYLO KETH</t>
  </si>
  <si>
    <t>have reviewed the Return on the Condition and Performance of Microfinance/Moneylending Institution</t>
  </si>
  <si>
    <t>ﬁled by the named financial institution and certify that the return represents a true and fair representation</t>
  </si>
  <si>
    <t>of the financial position of the institution.</t>
  </si>
  <si>
    <t>Name of person to whom questions about this report should be directed</t>
  </si>
  <si>
    <t>email: byron@abcmoneylenders.co.zw</t>
  </si>
  <si>
    <t>Telephone: 751904 / 751906</t>
  </si>
  <si>
    <r>
      <t xml:space="preserve">Return form within </t>
    </r>
    <r>
      <rPr>
        <b/>
        <sz val="16"/>
        <rFont val="Verdana"/>
        <family val="2"/>
        <charset val="1"/>
      </rPr>
      <t>fourteen</t>
    </r>
    <r>
      <rPr>
        <sz val="16"/>
        <rFont val="Verdana"/>
        <family val="2"/>
        <charset val="1"/>
      </rPr>
      <t xml:space="preserve"> </t>
    </r>
    <r>
      <rPr>
        <b/>
        <sz val="16"/>
        <rFont val="Verdana"/>
        <family val="2"/>
        <charset val="1"/>
      </rPr>
      <t>(14)</t>
    </r>
    <r>
      <rPr>
        <sz val="16"/>
        <rFont val="Verdana"/>
        <family val="2"/>
        <charset val="1"/>
      </rPr>
      <t xml:space="preserve"> days of reporting date to :-</t>
    </r>
  </si>
  <si>
    <t>The Senior Division Chief</t>
  </si>
  <si>
    <t>Bank Licensing, Supervision &amp; Surveillance</t>
  </si>
  <si>
    <t>Reserve Bank of Zimbabwe</t>
  </si>
  <si>
    <t>Samora Machel Avenue</t>
  </si>
  <si>
    <t>HARARE</t>
  </si>
  <si>
    <t>STATEMENT OF COMPREHENSIVE INCOME</t>
  </si>
  <si>
    <t>Institution:</t>
  </si>
  <si>
    <t>000595</t>
  </si>
  <si>
    <t>Financial Year:</t>
  </si>
  <si>
    <t>Start Date:</t>
  </si>
  <si>
    <t>End Date:</t>
  </si>
  <si>
    <t>STATEMENT OF COMPREHENSIVE INCOME (reporting is on a cummulative basis for current year)</t>
  </si>
  <si>
    <t>CONSOLIDATED</t>
  </si>
  <si>
    <t>1 INTEREST INCOME FROM LOANS &amp; ADVANCES (Sum of 1.1 to 1.3)</t>
  </si>
  <si>
    <t>1.1 CONSUMER</t>
  </si>
  <si>
    <t>1.2 COMMERCIAL</t>
  </si>
  <si>
    <t>1.3 OTHER</t>
  </si>
  <si>
    <t>2 INTEREST INCOME AND DISCOUNT RECEIVED FROM INVESTMENTS (Sum of 2.1 to 2.9)</t>
  </si>
  <si>
    <t>2.1 BANK BALANCES</t>
  </si>
  <si>
    <t>2.2 TREASURY BILS</t>
  </si>
  <si>
    <t>2.3 COMMERCIAL PAPER</t>
  </si>
  <si>
    <t>2.4 BANKERS ACCEPTANCES</t>
  </si>
  <si>
    <t>2.5 NEGOTIABLE CERTIFICATES OF DEPOSITS</t>
  </si>
  <si>
    <t>2.6 GOVERNMENT BONDS</t>
  </si>
  <si>
    <t>2.7 LOCAL GOVERNMENT BONDS</t>
  </si>
  <si>
    <t>2.8 CORPORATE BONDS</t>
  </si>
  <si>
    <t>2.9 OTHER</t>
  </si>
  <si>
    <t>3. TOTAL INTEREST INCOME (Sum of 1 and 2)</t>
  </si>
  <si>
    <t>4 NON - INTEREST INCOME (Sum of 4.1 to 4.4)</t>
  </si>
  <si>
    <t>4.1 ADMINISTRATION FEES</t>
  </si>
  <si>
    <t>4.2 PENALTY FEES</t>
  </si>
  <si>
    <t>4.3 INSURANCE INCOME FEES</t>
  </si>
  <si>
    <t>4.4 OTHER</t>
  </si>
  <si>
    <t>5 TOTAL OPERATING INCOME (Sum of 3 and 4)</t>
  </si>
  <si>
    <t>6 INTEREST EXPENSES (Sum of 6.1 to 6.3)</t>
  </si>
  <si>
    <t>6.1 INTEREST AND FEES ON COMMERCIAL DEBT</t>
  </si>
  <si>
    <t>6.2 INTEREST ON CONCESSIONAL DEBT</t>
  </si>
  <si>
    <t>6.3 INTEREST ON SHAREHOLDERS LOAN</t>
  </si>
  <si>
    <t>7 NET INTEREST INCOME (3 minus 6)</t>
  </si>
  <si>
    <t>8 PROVISION FOR LOAN LOSSES</t>
  </si>
  <si>
    <t>8.1 SPECIFIC</t>
  </si>
  <si>
    <t>8.2 GENERAL</t>
  </si>
  <si>
    <t>9 OPERATING EXPENSES (Sum of 9.1 to 9.8)</t>
  </si>
  <si>
    <t>9.1 SALARIES AND EMPLOYEE BENEFITS</t>
  </si>
  <si>
    <t>9.2 RENT AND OCCUPATIONAL EXPENSES</t>
  </si>
  <si>
    <t>9.3 DIRECTORS FEES</t>
  </si>
  <si>
    <t>9.4 TRAVEL</t>
  </si>
  <si>
    <t>9.5 DEPRECIATION</t>
  </si>
  <si>
    <t>9.6 MARKETING</t>
  </si>
  <si>
    <t>9.7 ADMINISTRATION EXPENSES</t>
  </si>
  <si>
    <t>9.8 OTHER</t>
  </si>
  <si>
    <t>10 TOTAL OPERATING EXPENSES (Sum of 9 plus 8 plus 6)</t>
  </si>
  <si>
    <t>11 NET INCOME FROM OPERATIONS (5 minus 10)</t>
  </si>
  <si>
    <t>12 GRANT INCOME</t>
  </si>
  <si>
    <t>13 TOTAL INCOME BEFORE TAX (Sum of 11 plus 12)</t>
  </si>
  <si>
    <t>14 TAXATION</t>
  </si>
  <si>
    <t>15 NET INCOME AFTER TAX</t>
  </si>
  <si>
    <t>16 DIVIDEND</t>
  </si>
  <si>
    <t>17 RETAINED EARNINGS FROM OPERATIONS</t>
  </si>
  <si>
    <t>18 OTHER COMPREHENSIVE INCOME</t>
  </si>
  <si>
    <t>18.1 GAINS / (LOSSES) ON AVAILABLE FOR SALE FINANCIAL ASSETS</t>
  </si>
  <si>
    <t>18.2 GAINS / (LOSSES) ON REVALUATION OF FIXED ASSETS</t>
  </si>
  <si>
    <t>18.3 OTHER (SPECIFY)</t>
  </si>
  <si>
    <t>19 TOTAL COMPREHENSIVE INCOME FOR THE YEAR</t>
  </si>
  <si>
    <t>ZW-MFI-STATEMENT OF FINANCIAL POSITION</t>
  </si>
  <si>
    <t>BALANCE SHEET</t>
  </si>
  <si>
    <t>TOTAL AMOUNT ($)</t>
  </si>
  <si>
    <t>1 ASSETS</t>
  </si>
  <si>
    <t>1.1 CASH AND BANK BALANCES</t>
  </si>
  <si>
    <t>1.2 FINANCIAL ASSETS HELD FOR TRADING (SUM of 1.2.1 to 1.2.5)</t>
  </si>
  <si>
    <t>1.2.1 TREASURY BILLS</t>
  </si>
  <si>
    <t>1.2.2 NEGOTIABLE CERTIFICATES OF DEPOSITS</t>
  </si>
  <si>
    <t>1.2.3 BANKERS ACCEPTANCES</t>
  </si>
  <si>
    <t>1.2.4 COMMERCIAL PAPER</t>
  </si>
  <si>
    <t>1.2.5 OTHER</t>
  </si>
  <si>
    <t>1.3 TOTAL LOANS - Gross (Sum of 1.3.1 to 1.3.3)</t>
  </si>
  <si>
    <t>1.3.1 CONSUMER</t>
  </si>
  <si>
    <t>1.3.2 COMMERCIAL</t>
  </si>
  <si>
    <t>(i) Farming</t>
  </si>
  <si>
    <t>(ii) Manufacturing</t>
  </si>
  <si>
    <t>(iii) Mining</t>
  </si>
  <si>
    <t>(iv) Services</t>
  </si>
  <si>
    <t>(v) Retail</t>
  </si>
  <si>
    <t>(vi) Transport</t>
  </si>
  <si>
    <t>(vii) Health</t>
  </si>
  <si>
    <t>(viii) Education</t>
  </si>
  <si>
    <t>(ix) Construction</t>
  </si>
  <si>
    <t>1.3.3 OTHER</t>
  </si>
  <si>
    <t>1.3.4 TOTAL PROVISIONS</t>
  </si>
  <si>
    <t>1.3.5 NET LOAN PORTFOLIO (1.3 minus 1.3.4)</t>
  </si>
  <si>
    <t>1.4 OTHER SHORT-TERM ASSETS</t>
  </si>
  <si>
    <t>1.5 TOTAL CURRENT ASSETS (Sum of 1.1.to 1.4)</t>
  </si>
  <si>
    <t>1.6 LONG-TERM INVESTMENTS (Sum of 1.6.1 to 1.6.5)</t>
  </si>
  <si>
    <t>1.6.1 GOVERNMENT BONDS</t>
  </si>
  <si>
    <t>1.6.2 LOCAL GOVERNMENT BONDS</t>
  </si>
  <si>
    <t>1.6.3 CORPORATE BONDS</t>
  </si>
  <si>
    <t>1.6.4 PARASTATAL BONDS</t>
  </si>
  <si>
    <t>1.6.5 OTHER LONG-TERM INVESTMENTS</t>
  </si>
  <si>
    <t>1.7 FIXED ASSETS</t>
  </si>
  <si>
    <t>1.8 TOTAL ASSETS (Sum of 1.5 to 1.7)</t>
  </si>
  <si>
    <t>2 LIABILITIES</t>
  </si>
  <si>
    <t>2.1 SHORT TERM DEBT (Sum of 2.2.1 to 2.2.3)</t>
  </si>
  <si>
    <t>2.1.1 COMMERCIAL RATES</t>
  </si>
  <si>
    <t>2.1.2 CONCESSIONAL RATES</t>
  </si>
  <si>
    <t>2.2 TAXATION</t>
  </si>
  <si>
    <t>2.3 DIVIDENDS PAYABLE</t>
  </si>
  <si>
    <t>2.4 OTHER CURRENT LIABILITES</t>
  </si>
  <si>
    <t>2.5 TOTAL CURRENT LIABILITEIS (Sum of 2.1 to 2.4)</t>
  </si>
  <si>
    <t>2.6 SHAREHOLDER LOANS</t>
  </si>
  <si>
    <t>2.7 LONG TERM DEBT (Sum of 2.7.1 to 2.7.3)</t>
  </si>
  <si>
    <t>2.7.1 COMMERCIAL RATES</t>
  </si>
  <si>
    <t>2.7.2 CONCESSIONAL RATES</t>
  </si>
  <si>
    <t>2.7.3 OTHER LONG TERM LIABILITIES</t>
  </si>
  <si>
    <t>2.8 TOTAL LIABILITIES (Sum of 2.5 to 2.7)</t>
  </si>
  <si>
    <t>3 EQUITY (Sum of 3.1 to 3.8)</t>
  </si>
  <si>
    <t>3.1 ORDINARY SHARES (PAR VALUE)</t>
  </si>
  <si>
    <t>3.2 SHARE PREMIUM ACCOUNT</t>
  </si>
  <si>
    <t>3.3 IRREDEEMABLE CUMULATIVE PREFERENCE SHARES</t>
  </si>
  <si>
    <t>3.4 IRREDEEMABLE NON CUMULATIVE PREFERENCE SHARES</t>
  </si>
  <si>
    <t>3.5 REVALUATION RESERVES</t>
  </si>
  <si>
    <t>3.6 DONATED EQUITY / GRANTS</t>
  </si>
  <si>
    <t>3.7 OTHER RESERVES</t>
  </si>
  <si>
    <t>3.8 PROFIT AND LOSS / RETAINED EARNINGS</t>
  </si>
  <si>
    <t>3.8.1 CURRENT YEAR</t>
  </si>
  <si>
    <t>3.8.2 PAST YEARS</t>
  </si>
  <si>
    <t>4. TOTAL LIABILITES AND EQUITY (Sum of 2 plus 3)</t>
  </si>
  <si>
    <t>ZW-MFI-INSIDER-LOANS</t>
  </si>
  <si>
    <t>SCHEDULE 1 - INSIDER LOANS TO SHAREHOLDERS, DIRECTORS, AND OTHER RELATED PARTIES</t>
  </si>
  <si>
    <t>Name of Borrower</t>
  </si>
  <si>
    <t>Relationship to Institution</t>
  </si>
  <si>
    <t>Total Limit</t>
  </si>
  <si>
    <t>Amount Outstanding</t>
  </si>
  <si>
    <t>Interest Rate</t>
  </si>
  <si>
    <t>Type of Security</t>
  </si>
  <si>
    <t>Value of Security</t>
  </si>
  <si>
    <t>TOTAL</t>
  </si>
  <si>
    <t>N/A</t>
  </si>
  <si>
    <t>ZW-MFI-LONGTERM-DEBT</t>
  </si>
  <si>
    <t>SCHEDULE 2 - LONG TERM DEBT</t>
  </si>
  <si>
    <t>Source of Finance</t>
  </si>
  <si>
    <t>Amount Borrowed</t>
  </si>
  <si>
    <t>Outstanding Bal</t>
  </si>
  <si>
    <t>Maturity Date</t>
  </si>
  <si>
    <t>Total</t>
  </si>
  <si>
    <t>ZW-MFI-ASSET-QUALITY</t>
  </si>
  <si>
    <t>SCHEDULE 3 ASSET QUALITY</t>
  </si>
  <si>
    <t>CLASSIFICATION OF LOANS</t>
  </si>
  <si>
    <t>DAYS OUTSTANDING/ARREARS</t>
  </si>
  <si>
    <t>TOTAL LOANS</t>
  </si>
  <si>
    <t>SUPERVISORY PROVISION %</t>
  </si>
  <si>
    <t>PROVISIONS AMOUNT</t>
  </si>
  <si>
    <t>TOTAL PASS - CURRENT</t>
  </si>
  <si>
    <t>CONSUMER LOANS</t>
  </si>
  <si>
    <t>COMMERCIAL LOANS</t>
  </si>
  <si>
    <t>OTHER LOANS</t>
  </si>
  <si>
    <t>TOTAL SPECIAL MENTION</t>
  </si>
  <si>
    <t>1 - 30 DAYS</t>
  </si>
  <si>
    <t>TOTAL SUBSTANDARD</t>
  </si>
  <si>
    <t>31 - 60 DAYS</t>
  </si>
  <si>
    <t>TOTAL DOUBTFUL</t>
  </si>
  <si>
    <t>61 - 90 DAYS</t>
  </si>
  <si>
    <t>TOTAL LOSS</t>
  </si>
  <si>
    <t>+91 DAYS</t>
  </si>
  <si>
    <t>GRAND TOTAL</t>
  </si>
  <si>
    <t>SPECIFIC PROVISIONS</t>
  </si>
  <si>
    <t>GENERAL PROVISIONS</t>
  </si>
  <si>
    <t>ZW-MFI-DISTRIBUTION OF LOANS AND ADVANCES</t>
  </si>
  <si>
    <t>SCHEDULE 4 - DISTRIBUTION OF LOANS &amp; ADVANCES</t>
  </si>
  <si>
    <t>PURPOSE OF LOAN</t>
  </si>
  <si>
    <t>NUMBER OF CLIENTS</t>
  </si>
  <si>
    <t>NUMBER OF LOANS</t>
  </si>
  <si>
    <t>VALUE</t>
  </si>
  <si>
    <t>PERCENTAL OF TOTAL LOANS</t>
  </si>
  <si>
    <t>DISTRIBUTION</t>
  </si>
  <si>
    <t>MANUFACTURING</t>
  </si>
  <si>
    <t>RETAIL</t>
  </si>
  <si>
    <t>CONSUMPTION</t>
  </si>
  <si>
    <t>SERVICES</t>
  </si>
  <si>
    <t>HEALTH</t>
  </si>
  <si>
    <t>EDUCATION</t>
  </si>
  <si>
    <t>MINING</t>
  </si>
  <si>
    <t>AGRICULTURE</t>
  </si>
  <si>
    <t>CROSS BORDER TRADERS</t>
  </si>
  <si>
    <t>VENDORS</t>
  </si>
  <si>
    <t>FUNERAL ASSISTANCE</t>
  </si>
  <si>
    <t>OTHER</t>
  </si>
  <si>
    <t>SCHEDULE 5 - DISTRIBUTION OF LOANS &amp; ADVANCES</t>
  </si>
  <si>
    <t>NUMBER OF FEMALE CLIENTS</t>
  </si>
  <si>
    <t>TOTAL NUMBER OF LOANS</t>
  </si>
  <si>
    <t>VENORS</t>
  </si>
  <si>
    <t>ZW-MFI-MATURITY-PROFILE</t>
  </si>
  <si>
    <t>SCHEDULE 6 - MATURITY PROFILE (Asset &amp; Liability Maturities)</t>
  </si>
  <si>
    <t>CASH INFLOWS</t>
  </si>
  <si>
    <t>CASH OUTFLOWS (Maturing Liabilities)</t>
  </si>
  <si>
    <t>Net Position</t>
  </si>
  <si>
    <t>Cumulative Position</t>
  </si>
  <si>
    <t>TOTAL INFLOWS / OUTFLOWS</t>
  </si>
  <si>
    <t>i) 0 -7 days</t>
  </si>
  <si>
    <t>ii) 8 - 14 days</t>
  </si>
  <si>
    <t>iii) 15 - 30 days</t>
  </si>
  <si>
    <t>iv) 31 - 60 days</t>
  </si>
  <si>
    <t>v) 61 - 90 days</t>
  </si>
  <si>
    <t>vi) 91 - 120 days</t>
  </si>
  <si>
    <t>vii) 121 - 180 days</t>
  </si>
  <si>
    <t>viii) 181 - 360 days</t>
  </si>
  <si>
    <t>0-7</t>
  </si>
  <si>
    <t>ZW-MFI-TOP-20-BORROWERS</t>
  </si>
  <si>
    <t>SCHEDULE 7 - TOP TWENTY BORROWERS</t>
  </si>
  <si>
    <t>NAME OF BORROWER</t>
  </si>
  <si>
    <t>TOTAL AMOUNT BORROWED</t>
  </si>
  <si>
    <t>BALANCE OUTSTANDING</t>
  </si>
  <si>
    <t>MATURITY DATE</t>
  </si>
  <si>
    <t>TYPE OF SECURITY</t>
  </si>
  <si>
    <t>VALUE OF SECURITY</t>
  </si>
  <si>
    <t>ZW-MFI-PORTFOLIO-MGMT</t>
  </si>
  <si>
    <t>SCHEDULE 8 - PORTFOLIO MANAGEMENT</t>
  </si>
  <si>
    <t>1 PORTFOLIO ACTIVITY</t>
  </si>
  <si>
    <t>VALUE / NUMBER</t>
  </si>
  <si>
    <t>1.1 NUMBER OF LOANS DISBURSED</t>
  </si>
  <si>
    <t>1.2 VALUE OF LOANS DISBURSED</t>
  </si>
  <si>
    <t>1.3 NUMBER OF CLIENTS TAKING FIRST LOAN</t>
  </si>
  <si>
    <t>1.4 NUMBER OF CLIENTS TAKING SECOND AND SUBSEQUENT LOANS</t>
  </si>
  <si>
    <t>1.5 NUMBER OF ACTIVE CLIENTS AT START OF QUARTER</t>
  </si>
  <si>
    <t>1.6 NUMBER OF ACTIVE CLIENTS AT END OF QUARTER</t>
  </si>
  <si>
    <t>1.7 DROP OUR / GROWTH RATE (%)</t>
  </si>
  <si>
    <t>1.8 NUMBER OF OUTSTANDNG LOANS</t>
  </si>
  <si>
    <t>1.9 AVERAGE LOAN TERM IN MONTHS</t>
  </si>
  <si>
    <t>1.10 TOTAL NUMBER OF ALL CLIENTS (ACTIVE + NON ACTIVE)</t>
  </si>
  <si>
    <t>2 OUTREACH</t>
  </si>
  <si>
    <t>2.1 NUMBER OF BRANCHES</t>
  </si>
  <si>
    <t>2.1.1 URBAN</t>
  </si>
  <si>
    <t>2.1.2 RURAL</t>
  </si>
  <si>
    <t>2.2 NUMBER OF ACTIVE LOAN CLIENTS IN RURAL BRANCHES (definition)</t>
  </si>
  <si>
    <t>2.3 NUMBER OF BORROWING GROUPS</t>
  </si>
  <si>
    <t>2.4 NUMBER OF ACTIVE LOAN CLIENTS RECEIVING LOANS AS MEMBERS OF A GROUP</t>
  </si>
  <si>
    <t>2.5 NUMBER OF ACTIVE LOAN CLIENTS RECEIVING LOANS AS INDIVIDUALS</t>
  </si>
  <si>
    <t>2.6 NUMBER OF LOANS WITH A DISBURSED LOAN AMOUNT MORE THAN $5,000</t>
  </si>
  <si>
    <t>2.7 % OF FEMAL BORROWERS TO TOTAL BORROWERS</t>
  </si>
  <si>
    <t>3. PORTFOLIO QUALITY</t>
  </si>
  <si>
    <t>3.1 NUMBER OF LOANS IN ARREARS (Pricipal plus Interest)</t>
  </si>
  <si>
    <t>3.2 VALUE OF LOANS IN ARREARS (Greater than 1 day)</t>
  </si>
  <si>
    <t>3.3 NUMBER OF LOAN IN ARREARS (Greater than 30 days)</t>
  </si>
  <si>
    <t>3.4 VALUE OF OUTSTANDING LOANS IN ARREARS (Greater than 30 days)</t>
  </si>
  <si>
    <t>3.5 NUMBER OF LOANS IN ARREARS (Greater than 60 days)</t>
  </si>
  <si>
    <t>3.6 VALUE OF OUTSTANDING LOANS IN ARREARS (Greater than 60 days)</t>
  </si>
  <si>
    <t>3.7 NUMBER OF LOANS IN ARREARS (Greater than 90 days)</t>
  </si>
  <si>
    <t>3.8 VALUE OF OUTSTANDING LOANS IN ARREARS (Greater than 90days)</t>
  </si>
  <si>
    <t>3.9 TOTAL LOAN REPAYMENTS FROM BORROWERS IN THE CURRENT QUARTER</t>
  </si>
  <si>
    <t>3.10 SCHEDULED AMOUNTS DUE IN PERIOD PLUS ARREARS</t>
  </si>
  <si>
    <t>3.11 COLLECTION RATE (%)</t>
  </si>
  <si>
    <t>3.12 VALUE OF ROLLED OVER / RENEGOTIATED LOANS</t>
  </si>
  <si>
    <t>3.13 NUMBER OF ROLLED OVER / RENEGOTIATED LOANS</t>
  </si>
  <si>
    <t>4. WRITE-OFFS</t>
  </si>
  <si>
    <t>4.1 NUMBER OF LOANS WRITTEN OFF DURING PERIOD</t>
  </si>
  <si>
    <t>4.2 VALUE OF LOANS WRITTEN OFF</t>
  </si>
  <si>
    <t>4.3 NUMBER OF LOANS UNDER LITIGATION</t>
  </si>
  <si>
    <t>4.4 VALUE OF LOANS UNDER LITIGATION</t>
  </si>
  <si>
    <t>ZW-MFI-PROFILE</t>
  </si>
  <si>
    <t>SCHEDULE 9 - COMPANY PROFILE</t>
  </si>
  <si>
    <t>1 NAME OF INSTITUTION</t>
  </si>
  <si>
    <t>2 LICENCE NUMBER</t>
  </si>
  <si>
    <t>3 DATE COMMENCED OPERATIONS</t>
  </si>
  <si>
    <t>4 PHYSICAL ADDRESS</t>
  </si>
  <si>
    <t>HATFIELD HOUSE, SEKE RD, GRANITESIDE, HARARE</t>
  </si>
  <si>
    <t>5 POSTAL ADDRESS</t>
  </si>
  <si>
    <t>PO BOX 1407, HARARE</t>
  </si>
  <si>
    <t>6 CONTACT TELEPHONES</t>
  </si>
  <si>
    <t>751904 / 751906</t>
  </si>
  <si>
    <t>7 CONTACT PERSON</t>
  </si>
  <si>
    <t>BYRON WILEY</t>
  </si>
  <si>
    <t>8 NUMBER OF BRANCHES</t>
  </si>
  <si>
    <t>9 NUMBER OF EMPLOYEES</t>
  </si>
  <si>
    <t>9 (a) Females</t>
  </si>
  <si>
    <t>9 (b) Male</t>
  </si>
  <si>
    <t>10 NUMBER OF LOAN OFFICERS</t>
  </si>
  <si>
    <t>10 (a) Female</t>
  </si>
  <si>
    <t>10 (b) Male</t>
  </si>
  <si>
    <t>11 EXTERNAL AUDITORS</t>
  </si>
  <si>
    <t>12 BANKERS</t>
  </si>
  <si>
    <t>BARCLAYS BANK</t>
  </si>
  <si>
    <t>13 LAWYERS</t>
  </si>
  <si>
    <t>WINTERTONS</t>
  </si>
  <si>
    <t>(x)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</si>
</sst>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\-??_-;_-@_-"/>
    <numFmt numFmtId="165" formatCode="dd\-mmm\-yy;@"/>
    <numFmt numFmtId="166" formatCode="_-* #,##0_-;\-* #,##0_-;_-* \-??_-;_-@_-"/>
    <numFmt numFmtId="167" formatCode="_-\$* #,##0.00_-;&quot;-$&quot;* #,##0.00_-;_-\$* \-??_-;_-@_-"/>
  </numFmts>
  <fonts count="20" x14ac:knownFonts="1">
    <font>
      <sz val="12"/>
      <color rgb="FF000000"/>
      <name val="Calibri"/>
      <family val="2"/>
      <charset val="1"/>
    </font>
    <font>
      <sz val="12"/>
      <color rgb="FF000000"/>
      <name val="Verdana"/>
      <family val="2"/>
      <charset val="1"/>
    </font>
    <font>
      <b/>
      <sz val="16"/>
      <name val="Verdana"/>
      <family val="2"/>
      <charset val="1"/>
    </font>
    <font>
      <sz val="16"/>
      <name val="Verdana"/>
      <family val="2"/>
      <charset val="1"/>
    </font>
    <font>
      <b/>
      <sz val="14"/>
      <name val="Verdana"/>
      <family val="2"/>
      <charset val="1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b/>
      <sz val="16"/>
      <name val="Arial"/>
      <family val="2"/>
      <charset val="1"/>
    </font>
    <font>
      <sz val="16"/>
      <color rgb="FF000000"/>
      <name val="Verdana"/>
      <family val="2"/>
      <charset val="1"/>
    </font>
    <font>
      <b/>
      <sz val="16"/>
      <color rgb="FF000000"/>
      <name val="Arial"/>
      <family val="2"/>
      <charset val="1"/>
    </font>
    <font>
      <sz val="16"/>
      <name val="Arial Narrow"/>
      <family val="2"/>
      <charset val="1"/>
    </font>
    <font>
      <b/>
      <sz val="16"/>
      <name val="Arial Narrow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/>
      <sz val="12"/>
      <color theme="10"/>
      <name val="Calibri"/>
      <family val="2"/>
      <charset val="1"/>
    </font>
    <font>
      <u/>
      <sz val="12"/>
      <color theme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7" fillId="0" borderId="0" applyBorder="0" applyProtection="0"/>
    <xf numFmtId="167" fontId="17" fillId="0" borderId="0" applyBorder="0" applyProtection="0"/>
    <xf numFmtId="9" fontId="17" fillId="0" borderId="0" applyBorder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1" fillId="0" borderId="4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3" fillId="0" borderId="0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3" fillId="0" borderId="0" xfId="0" applyFont="1" applyBorder="1" applyAlignment="1"/>
    <xf numFmtId="0" fontId="6" fillId="0" borderId="0" xfId="0" applyFont="1" applyBorder="1" applyAlignment="1"/>
    <xf numFmtId="0" fontId="10" fillId="0" borderId="0" xfId="0" applyFont="1" applyBorder="1" applyAlignment="1"/>
    <xf numFmtId="0" fontId="3" fillId="0" borderId="0" xfId="0" applyFont="1" applyBorder="1" applyAlignment="1">
      <alignment horizontal="left" indent="15"/>
    </xf>
    <xf numFmtId="0" fontId="11" fillId="0" borderId="0" xfId="0" applyFont="1" applyBorder="1" applyAlignment="1"/>
    <xf numFmtId="0" fontId="2" fillId="0" borderId="0" xfId="0" applyFont="1" applyBorder="1" applyAlignment="1">
      <alignment horizontal="left" indent="15"/>
    </xf>
    <xf numFmtId="0" fontId="0" fillId="0" borderId="6" xfId="0" applyBorder="1"/>
    <xf numFmtId="0" fontId="6" fillId="0" borderId="7" xfId="0" applyFont="1" applyBorder="1"/>
    <xf numFmtId="0" fontId="0" fillId="0" borderId="7" xfId="0" applyBorder="1"/>
    <xf numFmtId="0" fontId="0" fillId="0" borderId="8" xfId="0" applyBorder="1"/>
    <xf numFmtId="164" fontId="0" fillId="0" borderId="0" xfId="1" applyFont="1"/>
    <xf numFmtId="49" fontId="12" fillId="0" borderId="9" xfId="0" applyNumberFormat="1" applyFont="1" applyBorder="1" applyProtection="1">
      <protection locked="0"/>
    </xf>
    <xf numFmtId="0" fontId="0" fillId="0" borderId="9" xfId="0" applyFont="1" applyBorder="1"/>
    <xf numFmtId="164" fontId="0" fillId="0" borderId="9" xfId="1" applyFont="1" applyBorder="1" applyAlignment="1" applyProtection="1"/>
    <xf numFmtId="0" fontId="13" fillId="0" borderId="9" xfId="0" applyFont="1" applyBorder="1"/>
    <xf numFmtId="0" fontId="12" fillId="0" borderId="9" xfId="0" applyFont="1" applyBorder="1" applyProtection="1">
      <protection locked="0"/>
    </xf>
    <xf numFmtId="49" fontId="13" fillId="4" borderId="9" xfId="0" applyNumberFormat="1" applyFont="1" applyFill="1" applyBorder="1" applyAlignment="1" applyProtection="1">
      <alignment horizontal="center"/>
      <protection locked="0"/>
    </xf>
    <xf numFmtId="1" fontId="13" fillId="4" borderId="9" xfId="0" applyNumberFormat="1" applyFont="1" applyFill="1" applyBorder="1" applyAlignment="1" applyProtection="1">
      <alignment horizontal="center"/>
      <protection locked="0"/>
    </xf>
    <xf numFmtId="165" fontId="13" fillId="4" borderId="9" xfId="0" applyNumberFormat="1" applyFont="1" applyFill="1" applyBorder="1" applyAlignment="1" applyProtection="1">
      <alignment horizontal="center"/>
      <protection locked="0"/>
    </xf>
    <xf numFmtId="0" fontId="12" fillId="2" borderId="9" xfId="0" applyFont="1" applyFill="1" applyBorder="1" applyProtection="1">
      <protection locked="0"/>
    </xf>
    <xf numFmtId="0" fontId="0" fillId="2" borderId="9" xfId="0" applyFill="1" applyBorder="1"/>
    <xf numFmtId="164" fontId="0" fillId="2" borderId="9" xfId="1" applyFont="1" applyFill="1" applyBorder="1" applyAlignment="1" applyProtection="1"/>
    <xf numFmtId="0" fontId="0" fillId="0" borderId="9" xfId="0" applyBorder="1"/>
    <xf numFmtId="164" fontId="14" fillId="2" borderId="9" xfId="1" applyFont="1" applyFill="1" applyBorder="1" applyAlignment="1" applyProtection="1">
      <alignment horizontal="center"/>
    </xf>
    <xf numFmtId="0" fontId="14" fillId="0" borderId="9" xfId="0" applyFont="1" applyBorder="1"/>
    <xf numFmtId="0" fontId="0" fillId="0" borderId="9" xfId="0" applyFont="1" applyBorder="1" applyAlignment="1">
      <alignment horizontal="left" indent="4"/>
    </xf>
    <xf numFmtId="164" fontId="0" fillId="4" borderId="9" xfId="1" applyFont="1" applyFill="1" applyBorder="1" applyAlignment="1" applyProtection="1"/>
    <xf numFmtId="0" fontId="14" fillId="0" borderId="9" xfId="0" applyFont="1" applyBorder="1" applyAlignment="1">
      <alignment horizontal="left"/>
    </xf>
    <xf numFmtId="0" fontId="15" fillId="0" borderId="0" xfId="0" applyFont="1"/>
    <xf numFmtId="164" fontId="0" fillId="0" borderId="0" xfId="1" applyFont="1" applyBorder="1" applyAlignment="1" applyProtection="1"/>
    <xf numFmtId="0" fontId="0" fillId="0" borderId="9" xfId="0" applyFont="1" applyBorder="1" applyAlignment="1">
      <alignment horizontal="left"/>
    </xf>
    <xf numFmtId="0" fontId="12" fillId="0" borderId="9" xfId="0" applyFont="1" applyBorder="1"/>
    <xf numFmtId="49" fontId="0" fillId="2" borderId="9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0" fontId="12" fillId="2" borderId="9" xfId="0" applyFont="1" applyFill="1" applyBorder="1" applyAlignment="1" applyProtection="1">
      <alignment horizontal="center"/>
      <protection locked="0"/>
    </xf>
    <xf numFmtId="0" fontId="0" fillId="2" borderId="9" xfId="0" applyFill="1" applyBorder="1" applyAlignment="1">
      <alignment horizontal="center"/>
    </xf>
    <xf numFmtId="164" fontId="16" fillId="2" borderId="9" xfId="1" applyFont="1" applyFill="1" applyBorder="1" applyAlignment="1" applyProtection="1"/>
    <xf numFmtId="0" fontId="0" fillId="0" borderId="9" xfId="0" applyFont="1" applyBorder="1" applyAlignment="1">
      <alignment horizontal="left" indent="8"/>
    </xf>
    <xf numFmtId="164" fontId="0" fillId="4" borderId="0" xfId="1" applyFont="1" applyFill="1" applyBorder="1" applyAlignment="1" applyProtection="1"/>
    <xf numFmtId="0" fontId="14" fillId="2" borderId="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0" fillId="4" borderId="9" xfId="0" applyFill="1" applyBorder="1"/>
    <xf numFmtId="0" fontId="12" fillId="2" borderId="9" xfId="0" applyFont="1" applyFill="1" applyBorder="1" applyAlignment="1" applyProtection="1">
      <alignment horizontal="left" indent="4"/>
      <protection locked="0"/>
    </xf>
    <xf numFmtId="9" fontId="0" fillId="4" borderId="9" xfId="0" applyNumberForma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14" fillId="2" borderId="9" xfId="1" applyFont="1" applyFill="1" applyBorder="1" applyAlignment="1" applyProtection="1"/>
    <xf numFmtId="9" fontId="0" fillId="2" borderId="9" xfId="3" applyFont="1" applyFill="1" applyBorder="1" applyAlignment="1" applyProtection="1"/>
    <xf numFmtId="164" fontId="14" fillId="2" borderId="9" xfId="0" applyNumberFormat="1" applyFont="1" applyFill="1" applyBorder="1" applyAlignment="1">
      <alignment horizontal="center" vertical="center" wrapText="1"/>
    </xf>
    <xf numFmtId="0" fontId="13" fillId="2" borderId="9" xfId="0" applyFont="1" applyFill="1" applyBorder="1" applyProtection="1">
      <protection locked="0"/>
    </xf>
    <xf numFmtId="164" fontId="0" fillId="2" borderId="9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/>
    <xf numFmtId="164" fontId="14" fillId="2" borderId="9" xfId="0" applyNumberFormat="1" applyFont="1" applyFill="1" applyBorder="1"/>
    <xf numFmtId="166" fontId="0" fillId="2" borderId="9" xfId="1" applyNumberFormat="1" applyFont="1" applyFill="1" applyBorder="1" applyAlignment="1" applyProtection="1"/>
    <xf numFmtId="166" fontId="0" fillId="4" borderId="9" xfId="1" applyNumberFormat="1" applyFont="1" applyFill="1" applyBorder="1" applyAlignment="1" applyProtection="1"/>
    <xf numFmtId="167" fontId="0" fillId="2" borderId="9" xfId="2" applyFont="1" applyFill="1" applyBorder="1" applyAlignment="1" applyProtection="1"/>
    <xf numFmtId="164" fontId="0" fillId="2" borderId="9" xfId="0" applyNumberFormat="1" applyFill="1" applyBorder="1"/>
    <xf numFmtId="167" fontId="0" fillId="4" borderId="9" xfId="2" applyFont="1" applyFill="1" applyBorder="1" applyAlignment="1" applyProtection="1"/>
    <xf numFmtId="0" fontId="0" fillId="2" borderId="0" xfId="0" applyFont="1" applyFill="1" applyBorder="1"/>
    <xf numFmtId="16" fontId="0" fillId="0" borderId="0" xfId="0" applyNumberFormat="1"/>
    <xf numFmtId="0" fontId="0" fillId="0" borderId="0" xfId="0" applyAlignment="1">
      <alignment horizontal="center"/>
    </xf>
    <xf numFmtId="15" fontId="0" fillId="4" borderId="9" xfId="0" applyNumberFormat="1" applyFill="1" applyBorder="1" applyAlignment="1">
      <alignment horizontal="center"/>
    </xf>
    <xf numFmtId="167" fontId="13" fillId="4" borderId="9" xfId="2" applyFont="1" applyFill="1" applyBorder="1" applyAlignment="1" applyProtection="1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3" fillId="0" borderId="9" xfId="0" applyFont="1" applyBorder="1" applyProtection="1">
      <protection locked="0"/>
    </xf>
    <xf numFmtId="0" fontId="13" fillId="0" borderId="9" xfId="0" applyFont="1" applyBorder="1" applyAlignment="1" applyProtection="1">
      <alignment horizontal="left" indent="4"/>
      <protection locked="0"/>
    </xf>
    <xf numFmtId="9" fontId="0" fillId="4" borderId="9" xfId="3" applyFont="1" applyFill="1" applyBorder="1" applyAlignment="1" applyProtection="1"/>
    <xf numFmtId="2" fontId="0" fillId="4" borderId="9" xfId="0" applyNumberFormat="1" applyFont="1" applyFill="1" applyBorder="1" applyAlignment="1">
      <alignment horizontal="center"/>
    </xf>
    <xf numFmtId="165" fontId="0" fillId="4" borderId="9" xfId="0" applyNumberFormat="1" applyFill="1" applyBorder="1" applyAlignment="1">
      <alignment horizontal="center"/>
    </xf>
    <xf numFmtId="0" fontId="3" fillId="0" borderId="0" xfId="0" applyFont="1" applyBorder="1" applyAlignment="1"/>
    <xf numFmtId="0" fontId="6" fillId="3" borderId="0" xfId="0" applyFont="1" applyFill="1" applyBorder="1" applyAlignment="1">
      <alignment horizontal="center"/>
    </xf>
    <xf numFmtId="0" fontId="6" fillId="3" borderId="5" xfId="0" applyFont="1" applyFill="1" applyBorder="1" applyAlignment="1"/>
    <xf numFmtId="0" fontId="2" fillId="0" borderId="0" xfId="0" applyFont="1" applyBorder="1" applyAlignment="1">
      <alignment horizontal="center"/>
    </xf>
    <xf numFmtId="0" fontId="4" fillId="0" borderId="5" xfId="0" applyFont="1" applyBorder="1" applyAlignment="1"/>
    <xf numFmtId="0" fontId="9" fillId="2" borderId="0" xfId="0" applyFont="1" applyFill="1" applyBorder="1" applyAlignment="1"/>
    <xf numFmtId="15" fontId="6" fillId="3" borderId="0" xfId="0" applyNumberFormat="1" applyFont="1" applyFill="1" applyBorder="1" applyAlignment="1">
      <alignment horizontal="left"/>
    </xf>
    <xf numFmtId="0" fontId="12" fillId="2" borderId="9" xfId="0" applyFont="1" applyFill="1" applyBorder="1" applyAlignment="1" applyProtection="1">
      <alignment horizontal="center"/>
      <protection locked="0"/>
    </xf>
    <xf numFmtId="0" fontId="0" fillId="2" borderId="9" xfId="0" applyFill="1" applyBorder="1" applyAlignment="1">
      <alignment horizontal="center"/>
    </xf>
    <xf numFmtId="0" fontId="14" fillId="4" borderId="9" xfId="0" applyFont="1" applyFill="1" applyBorder="1" applyAlignment="1">
      <alignment horizontal="center"/>
    </xf>
  </cellXfs>
  <cellStyles count="6">
    <cellStyle name="Comma" xfId="1" builtinId="3"/>
    <cellStyle name="Currency" xfId="2" builtinId="4"/>
    <cellStyle name="Followed Hyperlink" xfId="5" builtinId="9" hidden="1"/>
    <cellStyle name="Hyperlink" xfId="4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1793880</xdr:colOff>
      <xdr:row>3</xdr:row>
      <xdr:rowOff>211680</xdr:rowOff>
    </xdr:from>
    <xdr:to>
      <xdr:col>2</xdr:col>
      <xdr:colOff>1794760</xdr:colOff>
      <xdr:row>9</xdr:row>
      <xdr:rowOff>3540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2280" y="868680"/>
          <a:ext cx="1345320" cy="99972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2</xdr:col>
      <xdr:colOff>4921250</xdr:colOff>
      <xdr:row>4</xdr:row>
      <xdr:rowOff>31750</xdr:rowOff>
    </xdr:from>
    <xdr:ext cx="1343025" cy="100012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4750" y="889000"/>
          <a:ext cx="1343025" cy="1000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zoomScale="80" zoomScaleNormal="80" zoomScalePageLayoutView="80" workbookViewId="0">
      <selection activeCell="F29" sqref="F29:G29"/>
    </sheetView>
  </sheetViews>
  <sheetFormatPr baseColWidth="10" defaultColWidth="8.83203125" defaultRowHeight="15" x14ac:dyDescent="0"/>
  <cols>
    <col min="3" max="3" width="98.33203125" customWidth="1"/>
    <col min="4" max="4" width="36.83203125" bestFit="1" customWidth="1"/>
    <col min="6" max="6" width="20.1640625" customWidth="1"/>
  </cols>
  <sheetData>
    <row r="2" spans="1:11">
      <c r="B2" s="1"/>
      <c r="C2" s="2"/>
      <c r="D2" s="2"/>
      <c r="E2" s="2"/>
      <c r="F2" s="2"/>
      <c r="G2" s="2"/>
      <c r="H2" s="2"/>
      <c r="I2" s="2"/>
      <c r="J2" s="2"/>
      <c r="K2" s="3"/>
    </row>
    <row r="3" spans="1:11" s="4" customFormat="1" ht="20">
      <c r="B3" s="5"/>
      <c r="C3" s="6" t="s">
        <v>0</v>
      </c>
      <c r="D3" s="7"/>
      <c r="E3" s="7"/>
      <c r="F3" s="7"/>
      <c r="G3" s="7"/>
      <c r="H3" s="7"/>
      <c r="I3" s="7"/>
      <c r="J3" s="7"/>
      <c r="K3" s="8"/>
    </row>
    <row r="4" spans="1:11" ht="17" customHeight="1">
      <c r="A4" s="4"/>
      <c r="B4" s="5"/>
      <c r="C4" s="6"/>
      <c r="D4" s="9" t="s">
        <v>1</v>
      </c>
      <c r="E4" s="7"/>
      <c r="F4" s="7"/>
      <c r="G4" s="7"/>
      <c r="H4" s="7"/>
      <c r="I4" s="7"/>
      <c r="J4" s="7"/>
      <c r="K4" s="8"/>
    </row>
    <row r="5" spans="1:11">
      <c r="B5" s="10"/>
      <c r="C5" s="91"/>
      <c r="D5" s="11"/>
      <c r="E5" s="11"/>
      <c r="F5" s="11"/>
      <c r="G5" s="11"/>
      <c r="H5" s="11"/>
      <c r="I5" s="11"/>
      <c r="J5" s="11"/>
      <c r="K5" s="12"/>
    </row>
    <row r="6" spans="1:11">
      <c r="B6" s="10"/>
      <c r="C6" s="91"/>
      <c r="D6" s="11"/>
      <c r="E6" s="11"/>
      <c r="F6" s="11"/>
      <c r="G6" s="11"/>
      <c r="H6" s="11"/>
      <c r="I6" s="11"/>
      <c r="J6" s="11"/>
      <c r="K6" s="12"/>
    </row>
    <row r="7" spans="1:11">
      <c r="B7" s="10"/>
      <c r="C7" s="91"/>
      <c r="D7" s="11"/>
      <c r="E7" s="11"/>
      <c r="F7" s="11"/>
      <c r="G7" s="11"/>
      <c r="H7" s="11"/>
      <c r="I7" s="11"/>
      <c r="J7" s="11"/>
      <c r="K7" s="12"/>
    </row>
    <row r="8" spans="1:11">
      <c r="B8" s="10"/>
      <c r="C8" s="91"/>
      <c r="D8" s="11"/>
      <c r="E8" s="11"/>
      <c r="F8" s="11"/>
      <c r="G8" s="11"/>
      <c r="H8" s="11"/>
      <c r="I8" s="11"/>
      <c r="J8" s="11"/>
      <c r="K8" s="12"/>
    </row>
    <row r="9" spans="1:11">
      <c r="B9" s="10"/>
      <c r="C9" s="91"/>
      <c r="D9" s="11"/>
      <c r="E9" s="11"/>
      <c r="F9" s="11"/>
      <c r="G9" s="11"/>
      <c r="H9" s="11"/>
      <c r="I9" s="11"/>
      <c r="J9" s="11"/>
      <c r="K9" s="12"/>
    </row>
    <row r="10" spans="1:11">
      <c r="B10" s="10"/>
      <c r="C10" s="91"/>
      <c r="D10" s="11"/>
      <c r="E10" s="11"/>
      <c r="F10" s="11"/>
      <c r="G10" s="11"/>
      <c r="H10" s="11"/>
      <c r="I10" s="11"/>
      <c r="J10" s="11"/>
      <c r="K10" s="12"/>
    </row>
    <row r="11" spans="1:11">
      <c r="B11" s="10"/>
      <c r="C11" s="11"/>
      <c r="D11" s="11"/>
      <c r="E11" s="11"/>
      <c r="F11" s="11"/>
      <c r="G11" s="11"/>
      <c r="H11" s="11"/>
      <c r="I11" s="11"/>
      <c r="J11" s="11"/>
      <c r="K11" s="12"/>
    </row>
    <row r="12" spans="1:11" ht="18">
      <c r="B12" s="10"/>
      <c r="C12" s="92" t="s">
        <v>2</v>
      </c>
      <c r="D12" s="92"/>
      <c r="E12" s="92"/>
      <c r="F12" s="92"/>
      <c r="G12" s="92"/>
      <c r="H12" s="92"/>
      <c r="I12" s="92"/>
      <c r="J12" s="92"/>
      <c r="K12" s="92"/>
    </row>
    <row r="13" spans="1:11">
      <c r="B13" s="10"/>
      <c r="C13" s="11"/>
      <c r="D13" s="11"/>
      <c r="E13" s="11"/>
      <c r="F13" s="11"/>
      <c r="G13" s="11"/>
      <c r="H13" s="11"/>
      <c r="I13" s="11"/>
      <c r="J13" s="11"/>
      <c r="K13" s="12"/>
    </row>
    <row r="14" spans="1:11">
      <c r="B14" s="10"/>
      <c r="C14" s="11"/>
      <c r="D14" s="11"/>
      <c r="E14" s="11"/>
      <c r="F14" s="11"/>
      <c r="G14" s="11"/>
      <c r="H14" s="11"/>
      <c r="I14" s="11"/>
      <c r="J14" s="11"/>
      <c r="K14" s="12"/>
    </row>
    <row r="15" spans="1:11">
      <c r="B15" s="10"/>
      <c r="C15" s="11"/>
      <c r="D15" s="11"/>
      <c r="E15" s="11"/>
      <c r="F15" s="11"/>
      <c r="G15" s="11"/>
      <c r="H15" s="11"/>
      <c r="I15" s="11"/>
      <c r="J15" s="11"/>
      <c r="K15" s="12"/>
    </row>
    <row r="16" spans="1:11" ht="20">
      <c r="B16" s="10"/>
      <c r="C16" s="13" t="s">
        <v>3</v>
      </c>
      <c r="D16" s="14"/>
      <c r="E16" s="14"/>
      <c r="F16" s="14"/>
      <c r="G16" s="14"/>
      <c r="H16" s="14"/>
      <c r="I16" s="14"/>
      <c r="J16" s="11"/>
      <c r="K16" s="12"/>
    </row>
    <row r="17" spans="2:11" ht="20">
      <c r="B17" s="10"/>
      <c r="C17" s="9" t="s">
        <v>4</v>
      </c>
      <c r="D17" s="14"/>
      <c r="E17" s="14"/>
      <c r="F17" s="14"/>
      <c r="G17" s="14"/>
      <c r="H17" s="14"/>
      <c r="I17" s="14"/>
      <c r="J17" s="11"/>
      <c r="K17" s="12"/>
    </row>
    <row r="18" spans="2:11" ht="20">
      <c r="B18" s="10"/>
      <c r="C18" s="9" t="s">
        <v>5</v>
      </c>
      <c r="D18" s="14"/>
      <c r="E18" s="14"/>
      <c r="F18" s="14"/>
      <c r="G18" s="14"/>
      <c r="H18" s="14"/>
      <c r="I18" s="14"/>
      <c r="J18" s="11"/>
      <c r="K18" s="12"/>
    </row>
    <row r="19" spans="2:11" ht="20">
      <c r="B19" s="10"/>
      <c r="C19" s="9" t="s">
        <v>6</v>
      </c>
      <c r="D19" s="15"/>
      <c r="E19" s="14"/>
      <c r="F19" s="14"/>
      <c r="G19" s="14"/>
      <c r="H19" s="14"/>
      <c r="I19" s="14"/>
      <c r="J19" s="11"/>
      <c r="K19" s="12"/>
    </row>
    <row r="20" spans="2:11" ht="20">
      <c r="B20" s="10"/>
      <c r="C20" s="16" t="s">
        <v>7</v>
      </c>
      <c r="D20" s="14"/>
      <c r="E20" s="14"/>
      <c r="F20" s="14"/>
      <c r="G20" s="14"/>
      <c r="H20" s="14"/>
      <c r="I20" s="14"/>
      <c r="J20" s="11"/>
      <c r="K20" s="12"/>
    </row>
    <row r="21" spans="2:11" ht="18">
      <c r="B21" s="10"/>
      <c r="C21" s="14"/>
      <c r="D21" s="14"/>
      <c r="E21" s="14"/>
      <c r="F21" s="14"/>
      <c r="G21" s="14"/>
      <c r="H21" s="14"/>
      <c r="I21" s="14"/>
      <c r="J21" s="11"/>
      <c r="K21" s="12"/>
    </row>
    <row r="22" spans="2:11" ht="18">
      <c r="B22" s="10"/>
      <c r="C22" s="14"/>
      <c r="D22" s="14"/>
      <c r="E22" s="14"/>
      <c r="F22" s="14"/>
      <c r="G22" s="14"/>
      <c r="H22" s="14"/>
      <c r="I22" s="14"/>
      <c r="J22" s="11"/>
      <c r="K22" s="12"/>
    </row>
    <row r="23" spans="2:11" ht="18">
      <c r="B23" s="10"/>
      <c r="C23" s="15" t="s">
        <v>8</v>
      </c>
      <c r="D23" s="93" t="s">
        <v>9</v>
      </c>
      <c r="E23" s="93"/>
      <c r="F23" s="93"/>
      <c r="G23" s="93"/>
      <c r="H23" s="93"/>
      <c r="I23" s="14"/>
      <c r="J23" s="11"/>
      <c r="K23" s="12"/>
    </row>
    <row r="24" spans="2:11" ht="18">
      <c r="B24" s="10"/>
      <c r="C24" s="15"/>
      <c r="D24" s="15"/>
      <c r="E24" s="14"/>
      <c r="F24" s="14"/>
      <c r="G24" s="14"/>
      <c r="H24" s="14"/>
      <c r="I24" s="14"/>
      <c r="J24" s="11"/>
      <c r="K24" s="12"/>
    </row>
    <row r="25" spans="2:11" ht="18">
      <c r="B25" s="10"/>
      <c r="C25" s="15" t="s">
        <v>10</v>
      </c>
      <c r="D25" s="94">
        <v>42004</v>
      </c>
      <c r="E25" s="94"/>
      <c r="F25" s="94"/>
      <c r="G25" s="94"/>
      <c r="H25" s="94"/>
      <c r="I25" s="14"/>
      <c r="J25" s="11"/>
      <c r="K25" s="12"/>
    </row>
    <row r="26" spans="2:11" ht="18">
      <c r="B26" s="10"/>
      <c r="C26" s="15"/>
      <c r="D26" s="14"/>
      <c r="E26" s="14"/>
      <c r="F26" s="14"/>
      <c r="G26" s="14"/>
      <c r="H26" s="14"/>
      <c r="I26" s="14"/>
      <c r="J26" s="11"/>
      <c r="K26" s="12"/>
    </row>
    <row r="27" spans="2:11" ht="20">
      <c r="B27" s="10"/>
      <c r="C27" s="9" t="s">
        <v>11</v>
      </c>
      <c r="D27" s="14"/>
      <c r="E27" s="14"/>
      <c r="F27" s="14"/>
      <c r="G27" s="14"/>
      <c r="H27" s="14"/>
      <c r="I27" s="14"/>
      <c r="J27" s="11"/>
      <c r="K27" s="12"/>
    </row>
    <row r="28" spans="2:11" ht="18">
      <c r="B28" s="10"/>
      <c r="C28" s="14"/>
      <c r="D28" s="14"/>
      <c r="E28" s="14"/>
      <c r="F28" s="14"/>
      <c r="G28" s="14"/>
      <c r="H28" s="14"/>
      <c r="I28" s="14"/>
      <c r="J28" s="11"/>
      <c r="K28" s="12"/>
    </row>
    <row r="29" spans="2:11" ht="20">
      <c r="B29" s="10"/>
      <c r="C29" s="88" t="s">
        <v>12</v>
      </c>
      <c r="D29" s="88"/>
      <c r="E29" s="88"/>
      <c r="F29" s="89" t="s">
        <v>13</v>
      </c>
      <c r="G29" s="89"/>
      <c r="H29" s="11"/>
      <c r="I29" s="90" t="s">
        <v>14</v>
      </c>
      <c r="J29" s="90"/>
      <c r="K29" s="90"/>
    </row>
    <row r="30" spans="2:11" ht="20">
      <c r="B30" s="10"/>
      <c r="C30" s="9"/>
      <c r="D30" s="9"/>
      <c r="E30" s="14"/>
      <c r="F30" s="14"/>
      <c r="G30" s="14"/>
      <c r="H30" s="14"/>
      <c r="I30" s="14"/>
      <c r="J30" s="11"/>
      <c r="K30" s="12"/>
    </row>
    <row r="31" spans="2:11" ht="20">
      <c r="B31" s="10"/>
      <c r="C31" s="88" t="s">
        <v>15</v>
      </c>
      <c r="D31" s="88"/>
      <c r="E31" s="88"/>
      <c r="F31" s="89" t="s">
        <v>16</v>
      </c>
      <c r="G31" s="89"/>
      <c r="H31" s="11"/>
      <c r="I31" s="90" t="s">
        <v>14</v>
      </c>
      <c r="J31" s="90"/>
      <c r="K31" s="90"/>
    </row>
    <row r="32" spans="2:11" ht="20">
      <c r="B32" s="10"/>
      <c r="C32" s="9"/>
      <c r="D32" s="14"/>
      <c r="E32" s="14"/>
      <c r="F32" s="14"/>
      <c r="G32" s="14"/>
      <c r="H32" s="14"/>
      <c r="I32" s="14"/>
      <c r="J32" s="11"/>
      <c r="K32" s="12"/>
    </row>
    <row r="33" spans="2:11" ht="20">
      <c r="B33" s="10"/>
      <c r="C33" s="9" t="s">
        <v>17</v>
      </c>
      <c r="D33" s="14"/>
      <c r="E33" s="14"/>
      <c r="F33" s="14"/>
      <c r="G33" s="14"/>
      <c r="H33" s="14"/>
      <c r="I33" s="14"/>
      <c r="J33" s="11"/>
      <c r="K33" s="12"/>
    </row>
    <row r="34" spans="2:11" ht="20">
      <c r="B34" s="10"/>
      <c r="C34" s="9" t="s">
        <v>18</v>
      </c>
      <c r="D34" s="14"/>
      <c r="E34" s="14"/>
      <c r="F34" s="14"/>
      <c r="G34" s="14"/>
      <c r="H34" s="14"/>
      <c r="I34" s="14"/>
      <c r="J34" s="11"/>
      <c r="K34" s="12"/>
    </row>
    <row r="35" spans="2:11" ht="20">
      <c r="B35" s="10"/>
      <c r="C35" s="9" t="s">
        <v>19</v>
      </c>
      <c r="D35" s="14"/>
      <c r="E35" s="14"/>
      <c r="F35" s="14"/>
      <c r="G35" s="14"/>
      <c r="H35" s="14"/>
      <c r="I35" s="14"/>
      <c r="J35" s="11"/>
      <c r="K35" s="12"/>
    </row>
    <row r="36" spans="2:11" ht="20">
      <c r="B36" s="10"/>
      <c r="C36" s="9"/>
      <c r="D36" s="14"/>
      <c r="E36" s="14"/>
      <c r="F36" s="14"/>
      <c r="G36" s="14"/>
      <c r="H36" s="14"/>
      <c r="I36" s="14"/>
      <c r="J36" s="11"/>
      <c r="K36" s="12"/>
    </row>
    <row r="37" spans="2:11" ht="20">
      <c r="B37" s="10"/>
      <c r="C37" s="9"/>
      <c r="D37" s="14"/>
      <c r="E37" s="14"/>
      <c r="F37" s="14"/>
      <c r="G37" s="14"/>
      <c r="H37" s="14"/>
      <c r="I37" s="14"/>
      <c r="J37" s="11"/>
      <c r="K37" s="12"/>
    </row>
    <row r="38" spans="2:11" ht="20">
      <c r="B38" s="10"/>
      <c r="C38" s="9" t="s">
        <v>20</v>
      </c>
      <c r="D38" s="14"/>
      <c r="E38" s="14"/>
      <c r="F38" s="14"/>
      <c r="G38" s="14"/>
      <c r="H38" s="14"/>
      <c r="I38" s="14"/>
      <c r="J38" s="11"/>
      <c r="K38" s="12"/>
    </row>
    <row r="39" spans="2:11" ht="20">
      <c r="B39" s="10"/>
      <c r="C39" s="9"/>
      <c r="D39" s="14"/>
      <c r="E39" s="14"/>
      <c r="F39" s="14"/>
      <c r="G39" s="14"/>
      <c r="H39" s="14"/>
      <c r="I39" s="14"/>
      <c r="J39" s="11"/>
      <c r="K39" s="12"/>
    </row>
    <row r="40" spans="2:11" ht="20">
      <c r="B40" s="10"/>
      <c r="C40" s="9" t="s">
        <v>21</v>
      </c>
      <c r="D40" s="14" t="s">
        <v>22</v>
      </c>
      <c r="E40" s="18"/>
      <c r="F40" s="18"/>
      <c r="G40" s="18"/>
      <c r="H40" s="14"/>
      <c r="I40" s="14"/>
      <c r="J40" s="11"/>
      <c r="K40" s="12"/>
    </row>
    <row r="41" spans="2:11" ht="20">
      <c r="B41" s="10"/>
      <c r="C41" s="9"/>
      <c r="D41" s="14"/>
      <c r="E41" s="14"/>
      <c r="F41" s="14"/>
      <c r="G41" s="14"/>
      <c r="H41" s="14"/>
      <c r="I41" s="14"/>
      <c r="J41" s="11"/>
      <c r="K41" s="12"/>
    </row>
    <row r="42" spans="2:11" ht="19">
      <c r="B42" s="10"/>
      <c r="C42" s="14"/>
      <c r="D42" s="19"/>
      <c r="E42" s="14"/>
      <c r="F42" s="14"/>
      <c r="G42" s="14"/>
      <c r="H42" s="14"/>
      <c r="I42" s="14"/>
      <c r="J42" s="11"/>
      <c r="K42" s="12"/>
    </row>
    <row r="43" spans="2:11" ht="20">
      <c r="B43" s="10"/>
      <c r="C43" s="17" t="s">
        <v>23</v>
      </c>
      <c r="D43" s="19"/>
      <c r="E43" s="14"/>
      <c r="F43" s="14"/>
      <c r="G43" s="14"/>
      <c r="H43" s="14"/>
      <c r="I43" s="14"/>
      <c r="J43" s="11"/>
      <c r="K43" s="12"/>
    </row>
    <row r="44" spans="2:11" ht="20">
      <c r="B44" s="10"/>
      <c r="C44" s="17"/>
      <c r="D44" s="19"/>
      <c r="E44" s="14"/>
      <c r="F44" s="14"/>
      <c r="G44" s="14"/>
      <c r="H44" s="14"/>
      <c r="I44" s="14"/>
      <c r="J44" s="11"/>
      <c r="K44" s="12"/>
    </row>
    <row r="45" spans="2:11" ht="20">
      <c r="B45" s="10"/>
      <c r="C45" s="20" t="s">
        <v>24</v>
      </c>
      <c r="D45" s="19"/>
      <c r="E45" s="14"/>
      <c r="F45" s="14"/>
      <c r="G45" s="14"/>
      <c r="H45" s="14"/>
      <c r="I45" s="14"/>
      <c r="J45" s="11"/>
      <c r="K45" s="12"/>
    </row>
    <row r="46" spans="2:11" ht="20">
      <c r="B46" s="10"/>
      <c r="C46" s="20" t="s">
        <v>25</v>
      </c>
      <c r="D46" s="19"/>
      <c r="E46" s="14"/>
      <c r="F46" s="14"/>
      <c r="G46" s="14"/>
      <c r="H46" s="14"/>
      <c r="I46" s="14"/>
      <c r="J46" s="11"/>
      <c r="K46" s="12"/>
    </row>
    <row r="47" spans="2:11" ht="20">
      <c r="B47" s="10"/>
      <c r="C47" s="20" t="s">
        <v>26</v>
      </c>
      <c r="D47" s="19"/>
      <c r="E47" s="14"/>
      <c r="F47" s="14"/>
      <c r="G47" s="14"/>
      <c r="H47" s="14"/>
      <c r="I47" s="14"/>
      <c r="J47" s="11"/>
      <c r="K47" s="12"/>
    </row>
    <row r="48" spans="2:11" ht="20">
      <c r="B48" s="10"/>
      <c r="C48" s="20" t="s">
        <v>27</v>
      </c>
      <c r="D48" s="21"/>
      <c r="E48" s="14"/>
      <c r="F48" s="14"/>
      <c r="G48" s="14"/>
      <c r="H48" s="14"/>
      <c r="I48" s="14"/>
      <c r="J48" s="11"/>
      <c r="K48" s="12"/>
    </row>
    <row r="49" spans="2:11" ht="20">
      <c r="B49" s="10"/>
      <c r="C49" s="22" t="s">
        <v>28</v>
      </c>
      <c r="D49" s="14"/>
      <c r="E49" s="14"/>
      <c r="F49" s="14"/>
      <c r="G49" s="14"/>
      <c r="H49" s="14"/>
      <c r="I49" s="14"/>
      <c r="J49" s="11"/>
      <c r="K49" s="12"/>
    </row>
    <row r="50" spans="2:11" ht="18">
      <c r="B50" s="10"/>
      <c r="C50" s="14"/>
      <c r="D50" s="14"/>
      <c r="E50" s="14"/>
      <c r="F50" s="14"/>
      <c r="G50" s="14"/>
      <c r="H50" s="14"/>
      <c r="I50" s="14"/>
      <c r="J50" s="11"/>
      <c r="K50" s="12"/>
    </row>
    <row r="51" spans="2:11" ht="18">
      <c r="B51" s="10"/>
      <c r="C51" s="14"/>
      <c r="D51" s="14"/>
      <c r="E51" s="14"/>
      <c r="F51" s="14"/>
      <c r="G51" s="14"/>
      <c r="H51" s="14"/>
      <c r="I51" s="14"/>
      <c r="J51" s="11"/>
      <c r="K51" s="12"/>
    </row>
    <row r="52" spans="2:11" ht="18">
      <c r="B52" s="10"/>
      <c r="C52" s="14"/>
      <c r="D52" s="14"/>
      <c r="E52" s="14"/>
      <c r="F52" s="14"/>
      <c r="G52" s="14"/>
      <c r="H52" s="14"/>
      <c r="I52" s="14"/>
      <c r="J52" s="11"/>
      <c r="K52" s="12"/>
    </row>
    <row r="53" spans="2:11" ht="18">
      <c r="B53" s="23"/>
      <c r="C53" s="24"/>
      <c r="D53" s="24"/>
      <c r="E53" s="24"/>
      <c r="F53" s="24"/>
      <c r="G53" s="24"/>
      <c r="H53" s="24"/>
      <c r="I53" s="24"/>
      <c r="J53" s="25"/>
      <c r="K53" s="26"/>
    </row>
  </sheetData>
  <mergeCells count="10">
    <mergeCell ref="C31:E31"/>
    <mergeCell ref="F31:G31"/>
    <mergeCell ref="I31:K31"/>
    <mergeCell ref="C5:C10"/>
    <mergeCell ref="C12:K12"/>
    <mergeCell ref="D23:H23"/>
    <mergeCell ref="D25:H25"/>
    <mergeCell ref="C29:E29"/>
    <mergeCell ref="F29:G29"/>
    <mergeCell ref="I29:K29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zoomScale="80" zoomScaleNormal="80" zoomScalePageLayoutView="80" workbookViewId="0">
      <selection activeCell="I23" sqref="I23"/>
    </sheetView>
  </sheetViews>
  <sheetFormatPr baseColWidth="10" defaultColWidth="8.83203125" defaultRowHeight="15" x14ac:dyDescent="0"/>
  <cols>
    <col min="1" max="1" width="81.5" bestFit="1" customWidth="1"/>
    <col min="2" max="2" width="10" bestFit="1" customWidth="1"/>
    <col min="3" max="3" width="15.83203125" style="27" bestFit="1" customWidth="1"/>
  </cols>
  <sheetData>
    <row r="1" spans="1:3" ht="15" customHeight="1">
      <c r="A1" s="28" t="s">
        <v>29</v>
      </c>
      <c r="B1" s="29"/>
      <c r="C1" s="30"/>
    </row>
    <row r="2" spans="1:3" ht="15" customHeight="1">
      <c r="A2" s="31"/>
      <c r="B2" s="29"/>
      <c r="C2" s="30"/>
    </row>
    <row r="3" spans="1:3" ht="15" customHeight="1">
      <c r="A3" s="32" t="s">
        <v>30</v>
      </c>
      <c r="B3" s="33" t="s">
        <v>31</v>
      </c>
      <c r="C3" s="30"/>
    </row>
    <row r="4" spans="1:3" ht="15" customHeight="1">
      <c r="A4" s="32" t="s">
        <v>32</v>
      </c>
      <c r="B4" s="34">
        <v>2014</v>
      </c>
      <c r="C4" s="30"/>
    </row>
    <row r="5" spans="1:3" ht="15" customHeight="1">
      <c r="A5" s="32" t="s">
        <v>33</v>
      </c>
      <c r="B5" s="35">
        <v>41583</v>
      </c>
      <c r="C5" s="30"/>
    </row>
    <row r="6" spans="1:3" ht="15" customHeight="1">
      <c r="A6" s="32" t="s">
        <v>34</v>
      </c>
      <c r="B6" s="35">
        <v>42004</v>
      </c>
      <c r="C6" s="30"/>
    </row>
    <row r="7" spans="1:3" ht="15" customHeight="1">
      <c r="A7" s="29"/>
      <c r="B7" s="29"/>
      <c r="C7" s="30"/>
    </row>
    <row r="8" spans="1:3" ht="15" customHeight="1">
      <c r="A8" s="36" t="s">
        <v>35</v>
      </c>
      <c r="B8" s="37"/>
      <c r="C8" s="38"/>
    </row>
    <row r="9" spans="1:3" ht="15" customHeight="1">
      <c r="A9" s="37"/>
      <c r="B9" s="37"/>
      <c r="C9" s="38"/>
    </row>
    <row r="10" spans="1:3" ht="15" customHeight="1">
      <c r="A10" s="39"/>
      <c r="B10" s="37"/>
      <c r="C10" s="40" t="s">
        <v>36</v>
      </c>
    </row>
    <row r="11" spans="1:3" ht="15" customHeight="1">
      <c r="A11" s="41" t="s">
        <v>37</v>
      </c>
      <c r="B11" s="37"/>
      <c r="C11" s="38">
        <f>SUM(C12:C14)</f>
        <v>0</v>
      </c>
    </row>
    <row r="12" spans="1:3" ht="15" customHeight="1">
      <c r="A12" s="42" t="s">
        <v>38</v>
      </c>
      <c r="B12" s="37"/>
      <c r="C12" s="43"/>
    </row>
    <row r="13" spans="1:3" ht="15" customHeight="1">
      <c r="A13" s="42" t="s">
        <v>39</v>
      </c>
      <c r="B13" s="37"/>
      <c r="C13" s="43">
        <v>0</v>
      </c>
    </row>
    <row r="14" spans="1:3" ht="15" customHeight="1">
      <c r="A14" s="42" t="s">
        <v>40</v>
      </c>
      <c r="B14" s="37"/>
      <c r="C14" s="43">
        <v>0</v>
      </c>
    </row>
    <row r="15" spans="1:3" ht="15" customHeight="1">
      <c r="A15" s="44" t="s">
        <v>41</v>
      </c>
      <c r="B15" s="37"/>
      <c r="C15" s="38">
        <f>SUM(C16:C24)</f>
        <v>0</v>
      </c>
    </row>
    <row r="16" spans="1:3" ht="15" customHeight="1">
      <c r="A16" s="42" t="s">
        <v>42</v>
      </c>
      <c r="B16" s="37"/>
      <c r="C16" s="43">
        <v>0</v>
      </c>
    </row>
    <row r="17" spans="1:4">
      <c r="A17" s="42" t="s">
        <v>43</v>
      </c>
      <c r="B17" s="37"/>
      <c r="C17" s="43">
        <v>0</v>
      </c>
    </row>
    <row r="18" spans="1:4">
      <c r="A18" s="42" t="s">
        <v>44</v>
      </c>
      <c r="B18" s="37"/>
      <c r="C18" s="43">
        <v>0</v>
      </c>
    </row>
    <row r="19" spans="1:4">
      <c r="A19" s="42" t="s">
        <v>45</v>
      </c>
      <c r="B19" s="37"/>
      <c r="C19" s="43">
        <v>0</v>
      </c>
    </row>
    <row r="20" spans="1:4">
      <c r="A20" s="42" t="s">
        <v>46</v>
      </c>
      <c r="B20" s="37"/>
      <c r="C20" s="43">
        <v>0</v>
      </c>
    </row>
    <row r="21" spans="1:4">
      <c r="A21" s="42" t="s">
        <v>47</v>
      </c>
      <c r="B21" s="37"/>
      <c r="C21" s="43">
        <v>0</v>
      </c>
    </row>
    <row r="22" spans="1:4">
      <c r="A22" s="42" t="s">
        <v>48</v>
      </c>
      <c r="B22" s="37"/>
      <c r="C22" s="43">
        <v>0</v>
      </c>
    </row>
    <row r="23" spans="1:4">
      <c r="A23" s="42" t="s">
        <v>49</v>
      </c>
      <c r="B23" s="37"/>
      <c r="C23" s="43">
        <v>0</v>
      </c>
    </row>
    <row r="24" spans="1:4">
      <c r="A24" s="42" t="s">
        <v>50</v>
      </c>
      <c r="B24" s="37"/>
      <c r="C24" s="43">
        <v>0</v>
      </c>
    </row>
    <row r="25" spans="1:4">
      <c r="A25" s="44" t="s">
        <v>51</v>
      </c>
      <c r="B25" s="37"/>
      <c r="C25" s="38">
        <f>C11+C15</f>
        <v>0</v>
      </c>
      <c r="D25" s="45"/>
    </row>
    <row r="26" spans="1:4">
      <c r="A26" s="44" t="s">
        <v>52</v>
      </c>
      <c r="B26" s="37"/>
      <c r="C26" s="38">
        <f>SUM(C27:C30)</f>
        <v>0</v>
      </c>
    </row>
    <row r="27" spans="1:4">
      <c r="A27" s="42" t="s">
        <v>53</v>
      </c>
      <c r="B27" s="37"/>
      <c r="C27" s="43"/>
    </row>
    <row r="28" spans="1:4">
      <c r="A28" s="42" t="s">
        <v>54</v>
      </c>
      <c r="B28" s="37"/>
      <c r="C28" s="43">
        <v>0</v>
      </c>
    </row>
    <row r="29" spans="1:4">
      <c r="A29" s="42" t="s">
        <v>55</v>
      </c>
      <c r="B29" s="37"/>
      <c r="C29" s="43">
        <v>0</v>
      </c>
    </row>
    <row r="30" spans="1:4">
      <c r="A30" s="42" t="s">
        <v>56</v>
      </c>
      <c r="B30" s="37"/>
      <c r="C30" s="43"/>
    </row>
    <row r="31" spans="1:4">
      <c r="A31" s="44" t="s">
        <v>57</v>
      </c>
      <c r="B31" s="37"/>
      <c r="C31" s="38">
        <f>C25+C26</f>
        <v>0</v>
      </c>
    </row>
    <row r="32" spans="1:4">
      <c r="A32" s="44" t="s">
        <v>58</v>
      </c>
      <c r="B32" s="37"/>
      <c r="C32" s="38">
        <f>SUM(C33:C35)</f>
        <v>0</v>
      </c>
    </row>
    <row r="33" spans="1:4">
      <c r="A33" s="42" t="s">
        <v>59</v>
      </c>
      <c r="B33" s="37"/>
      <c r="C33" s="43">
        <v>0</v>
      </c>
    </row>
    <row r="34" spans="1:4">
      <c r="A34" s="42" t="s">
        <v>60</v>
      </c>
      <c r="B34" s="37"/>
      <c r="C34" s="43">
        <v>0</v>
      </c>
    </row>
    <row r="35" spans="1:4">
      <c r="A35" s="42" t="s">
        <v>61</v>
      </c>
      <c r="B35" s="37"/>
      <c r="C35" s="43"/>
    </row>
    <row r="36" spans="1:4">
      <c r="A36" s="44" t="s">
        <v>62</v>
      </c>
      <c r="B36" s="37"/>
      <c r="C36" s="38">
        <f>C25-C32</f>
        <v>0</v>
      </c>
    </row>
    <row r="37" spans="1:4">
      <c r="A37" s="44" t="s">
        <v>63</v>
      </c>
      <c r="B37" s="37"/>
      <c r="C37" s="38">
        <f>SUM(C38:C39)</f>
        <v>0</v>
      </c>
    </row>
    <row r="38" spans="1:4">
      <c r="A38" s="42" t="s">
        <v>64</v>
      </c>
      <c r="B38" s="37"/>
      <c r="C38" s="43"/>
    </row>
    <row r="39" spans="1:4">
      <c r="A39" s="42" t="s">
        <v>65</v>
      </c>
      <c r="B39" s="37"/>
      <c r="C39" s="43"/>
    </row>
    <row r="40" spans="1:4">
      <c r="A40" s="44" t="s">
        <v>66</v>
      </c>
      <c r="B40" s="37"/>
      <c r="C40" s="38">
        <f>SUM(C41:C48)</f>
        <v>0</v>
      </c>
    </row>
    <row r="41" spans="1:4">
      <c r="A41" s="42" t="s">
        <v>67</v>
      </c>
      <c r="B41" s="37"/>
      <c r="C41" s="43"/>
    </row>
    <row r="42" spans="1:4">
      <c r="A42" s="42" t="s">
        <v>68</v>
      </c>
      <c r="B42" s="37"/>
      <c r="C42" s="43">
        <v>0</v>
      </c>
    </row>
    <row r="43" spans="1:4">
      <c r="A43" s="42" t="s">
        <v>69</v>
      </c>
      <c r="B43" s="37"/>
      <c r="C43" s="43">
        <v>0</v>
      </c>
    </row>
    <row r="44" spans="1:4">
      <c r="A44" s="42" t="s">
        <v>70</v>
      </c>
      <c r="B44" s="37"/>
      <c r="C44" s="43">
        <v>0</v>
      </c>
    </row>
    <row r="45" spans="1:4">
      <c r="A45" s="42" t="s">
        <v>71</v>
      </c>
      <c r="B45" s="37"/>
      <c r="C45" s="43"/>
    </row>
    <row r="46" spans="1:4">
      <c r="A46" s="42" t="s">
        <v>72</v>
      </c>
      <c r="B46" s="37"/>
      <c r="C46" s="43"/>
    </row>
    <row r="47" spans="1:4">
      <c r="A47" s="42" t="s">
        <v>73</v>
      </c>
      <c r="B47" s="37"/>
      <c r="C47" s="43"/>
      <c r="D47" s="46"/>
    </row>
    <row r="48" spans="1:4">
      <c r="A48" s="42" t="s">
        <v>74</v>
      </c>
      <c r="B48" s="37"/>
      <c r="C48" s="43">
        <v>0</v>
      </c>
    </row>
    <row r="49" spans="1:4">
      <c r="A49" s="44" t="s">
        <v>75</v>
      </c>
      <c r="B49" s="37"/>
      <c r="C49" s="38">
        <f>C40+C37+C32</f>
        <v>0</v>
      </c>
    </row>
    <row r="50" spans="1:4">
      <c r="A50" s="44" t="s">
        <v>76</v>
      </c>
      <c r="B50" s="37"/>
      <c r="C50" s="38">
        <f>C31-C49</f>
        <v>0</v>
      </c>
      <c r="D50" s="45"/>
    </row>
    <row r="51" spans="1:4">
      <c r="A51" s="47" t="s">
        <v>77</v>
      </c>
      <c r="B51" s="37"/>
      <c r="C51" s="43">
        <v>0</v>
      </c>
    </row>
    <row r="52" spans="1:4">
      <c r="A52" s="44" t="s">
        <v>78</v>
      </c>
      <c r="B52" s="37"/>
      <c r="C52" s="38">
        <f>C50+C51</f>
        <v>0</v>
      </c>
    </row>
    <row r="53" spans="1:4">
      <c r="A53" s="47" t="s">
        <v>79</v>
      </c>
      <c r="B53" s="37"/>
      <c r="C53" s="43"/>
      <c r="D53" s="45"/>
    </row>
    <row r="54" spans="1:4">
      <c r="A54" s="44" t="s">
        <v>80</v>
      </c>
      <c r="B54" s="37"/>
      <c r="C54" s="38">
        <f>C52-C53</f>
        <v>0</v>
      </c>
    </row>
    <row r="55" spans="1:4">
      <c r="A55" s="47" t="s">
        <v>81</v>
      </c>
      <c r="B55" s="37"/>
      <c r="C55" s="43">
        <v>0</v>
      </c>
    </row>
    <row r="56" spans="1:4">
      <c r="A56" s="44" t="s">
        <v>82</v>
      </c>
      <c r="B56" s="37"/>
      <c r="C56" s="38">
        <f>C54-C55</f>
        <v>0</v>
      </c>
    </row>
    <row r="57" spans="1:4">
      <c r="A57" s="39"/>
      <c r="B57" s="39"/>
      <c r="C57" s="30"/>
    </row>
    <row r="58" spans="1:4">
      <c r="A58" s="41" t="s">
        <v>83</v>
      </c>
      <c r="B58" s="37"/>
      <c r="C58" s="43">
        <f>SUM(C59:C61)</f>
        <v>0</v>
      </c>
    </row>
    <row r="59" spans="1:4">
      <c r="A59" s="42" t="s">
        <v>84</v>
      </c>
      <c r="B59" s="39"/>
      <c r="C59" s="43">
        <v>0</v>
      </c>
    </row>
    <row r="60" spans="1:4">
      <c r="A60" s="42" t="s">
        <v>85</v>
      </c>
      <c r="B60" s="39"/>
      <c r="C60" s="43">
        <v>0</v>
      </c>
    </row>
    <row r="61" spans="1:4">
      <c r="A61" s="42" t="s">
        <v>86</v>
      </c>
      <c r="B61" s="39"/>
      <c r="C61" s="43">
        <v>0</v>
      </c>
    </row>
    <row r="62" spans="1:4">
      <c r="A62" s="41" t="s">
        <v>87</v>
      </c>
      <c r="B62" s="37"/>
      <c r="C62" s="38">
        <f>C56+C58</f>
        <v>0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75"/>
  <sheetViews>
    <sheetView zoomScale="80" zoomScaleNormal="80" zoomScalePageLayoutView="80" workbookViewId="0">
      <selection activeCell="C36" sqref="C36"/>
    </sheetView>
  </sheetViews>
  <sheetFormatPr baseColWidth="10" defaultColWidth="8.83203125" defaultRowHeight="15" x14ac:dyDescent="0"/>
  <cols>
    <col min="1" max="1" width="56" bestFit="1" customWidth="1"/>
    <col min="2" max="2" width="10" bestFit="1" customWidth="1"/>
    <col min="3" max="3" width="13" style="27" bestFit="1" customWidth="1"/>
  </cols>
  <sheetData>
    <row r="1" spans="1:3">
      <c r="A1" s="48" t="s">
        <v>88</v>
      </c>
      <c r="B1" s="39"/>
      <c r="C1" s="30"/>
    </row>
    <row r="2" spans="1:3">
      <c r="A2" s="32"/>
      <c r="B2" s="39"/>
      <c r="C2" s="30"/>
    </row>
    <row r="3" spans="1:3">
      <c r="A3" s="32" t="s">
        <v>30</v>
      </c>
      <c r="B3" s="49" t="str">
        <f>'COMPREHENSIVE INCOME'!B3</f>
        <v>000595</v>
      </c>
      <c r="C3" s="30"/>
    </row>
    <row r="4" spans="1:3">
      <c r="A4" s="32" t="s">
        <v>32</v>
      </c>
      <c r="B4" s="49">
        <f>'COMPREHENSIVE INCOME'!B4</f>
        <v>2014</v>
      </c>
      <c r="C4" s="30"/>
    </row>
    <row r="5" spans="1:3">
      <c r="A5" s="32" t="s">
        <v>33</v>
      </c>
      <c r="B5" s="50">
        <f>'COMPREHENSIVE INCOME'!B5</f>
        <v>41583</v>
      </c>
      <c r="C5" s="30"/>
    </row>
    <row r="6" spans="1:3">
      <c r="A6" s="32" t="s">
        <v>34</v>
      </c>
      <c r="B6" s="50">
        <f>'COMPREHENSIVE INCOME'!B6</f>
        <v>42004</v>
      </c>
      <c r="C6" s="30"/>
    </row>
    <row r="7" spans="1:3">
      <c r="A7" s="39"/>
      <c r="B7" s="39"/>
      <c r="C7" s="30"/>
    </row>
    <row r="8" spans="1:3">
      <c r="A8" s="95" t="s">
        <v>89</v>
      </c>
      <c r="B8" s="95"/>
      <c r="C8" s="95"/>
    </row>
    <row r="9" spans="1:3">
      <c r="A9" s="96"/>
      <c r="B9" s="96"/>
      <c r="C9" s="96"/>
    </row>
    <row r="10" spans="1:3">
      <c r="A10" s="39"/>
      <c r="B10" s="39"/>
      <c r="C10" s="53" t="s">
        <v>90</v>
      </c>
    </row>
    <row r="11" spans="1:3">
      <c r="A11" s="41" t="s">
        <v>91</v>
      </c>
      <c r="B11" s="39"/>
      <c r="C11" s="38"/>
    </row>
    <row r="12" spans="1:3">
      <c r="A12" s="39" t="s">
        <v>92</v>
      </c>
      <c r="B12" s="39"/>
      <c r="C12" s="43"/>
    </row>
    <row r="13" spans="1:3">
      <c r="A13" s="41" t="s">
        <v>93</v>
      </c>
      <c r="B13" s="39"/>
      <c r="C13" s="38">
        <f>SUM(C14:C18)</f>
        <v>0</v>
      </c>
    </row>
    <row r="14" spans="1:3">
      <c r="A14" s="42" t="s">
        <v>94</v>
      </c>
      <c r="B14" s="39"/>
      <c r="C14" s="43">
        <v>0</v>
      </c>
    </row>
    <row r="15" spans="1:3">
      <c r="A15" s="42" t="s">
        <v>95</v>
      </c>
      <c r="B15" s="39"/>
      <c r="C15" s="43">
        <v>0</v>
      </c>
    </row>
    <row r="16" spans="1:3">
      <c r="A16" s="42" t="s">
        <v>96</v>
      </c>
      <c r="B16" s="39"/>
      <c r="C16" s="43">
        <v>0</v>
      </c>
    </row>
    <row r="17" spans="1:3">
      <c r="A17" s="42" t="s">
        <v>97</v>
      </c>
      <c r="B17" s="39"/>
      <c r="C17" s="43">
        <v>0</v>
      </c>
    </row>
    <row r="18" spans="1:3">
      <c r="A18" s="42" t="s">
        <v>98</v>
      </c>
      <c r="B18" s="39"/>
      <c r="C18" s="43">
        <v>0</v>
      </c>
    </row>
    <row r="19" spans="1:3">
      <c r="A19" s="41" t="s">
        <v>99</v>
      </c>
      <c r="B19" s="39"/>
      <c r="C19" s="38">
        <f>C20+C21+C32</f>
        <v>0</v>
      </c>
    </row>
    <row r="20" spans="1:3">
      <c r="A20" s="42" t="s">
        <v>100</v>
      </c>
      <c r="B20" s="39"/>
      <c r="C20" s="43"/>
    </row>
    <row r="21" spans="1:3">
      <c r="A21" s="42" t="s">
        <v>101</v>
      </c>
      <c r="B21" s="39"/>
      <c r="C21" s="38">
        <f>SUM(C22:C31)</f>
        <v>0</v>
      </c>
    </row>
    <row r="22" spans="1:3">
      <c r="A22" s="54" t="s">
        <v>102</v>
      </c>
      <c r="B22" s="39"/>
      <c r="C22" s="43">
        <v>0</v>
      </c>
    </row>
    <row r="23" spans="1:3">
      <c r="A23" s="54" t="s">
        <v>103</v>
      </c>
      <c r="B23" s="39"/>
      <c r="C23" s="43">
        <v>0</v>
      </c>
    </row>
    <row r="24" spans="1:3">
      <c r="A24" s="54" t="s">
        <v>104</v>
      </c>
      <c r="B24" s="39"/>
      <c r="C24" s="43">
        <v>0</v>
      </c>
    </row>
    <row r="25" spans="1:3">
      <c r="A25" s="54" t="s">
        <v>105</v>
      </c>
      <c r="B25" s="39"/>
      <c r="C25" s="43">
        <v>0</v>
      </c>
    </row>
    <row r="26" spans="1:3">
      <c r="A26" s="54" t="s">
        <v>106</v>
      </c>
      <c r="B26" s="39"/>
      <c r="C26" s="43">
        <v>0</v>
      </c>
    </row>
    <row r="27" spans="1:3">
      <c r="A27" s="54" t="s">
        <v>107</v>
      </c>
      <c r="B27" s="39"/>
      <c r="C27" s="43">
        <v>0</v>
      </c>
    </row>
    <row r="28" spans="1:3">
      <c r="A28" s="54" t="s">
        <v>108</v>
      </c>
      <c r="B28" s="39"/>
      <c r="C28" s="43">
        <v>0</v>
      </c>
    </row>
    <row r="29" spans="1:3">
      <c r="A29" s="54" t="s">
        <v>109</v>
      </c>
      <c r="B29" s="39"/>
      <c r="C29" s="43">
        <v>0</v>
      </c>
    </row>
    <row r="30" spans="1:3">
      <c r="A30" s="54" t="s">
        <v>110</v>
      </c>
      <c r="B30" s="39"/>
      <c r="C30" s="43">
        <v>0</v>
      </c>
    </row>
    <row r="31" spans="1:3">
      <c r="A31" s="54" t="s">
        <v>306</v>
      </c>
      <c r="B31" s="39"/>
      <c r="C31" s="43"/>
    </row>
    <row r="32" spans="1:3">
      <c r="A32" s="42" t="s">
        <v>111</v>
      </c>
      <c r="B32" s="39"/>
      <c r="C32" s="43">
        <f>0</f>
        <v>0</v>
      </c>
    </row>
    <row r="33" spans="1:3">
      <c r="A33" s="42" t="s">
        <v>112</v>
      </c>
      <c r="B33" s="39"/>
      <c r="C33" s="43"/>
    </row>
    <row r="34" spans="1:3">
      <c r="A34" s="41" t="s">
        <v>113</v>
      </c>
      <c r="B34" s="39"/>
      <c r="C34" s="38">
        <f>C19-C33</f>
        <v>0</v>
      </c>
    </row>
    <row r="35" spans="1:3">
      <c r="A35" s="39" t="s">
        <v>114</v>
      </c>
      <c r="B35" s="39"/>
      <c r="C35" s="55"/>
    </row>
    <row r="36" spans="1:3">
      <c r="A36" s="41" t="s">
        <v>115</v>
      </c>
      <c r="B36" s="39"/>
      <c r="C36" s="38">
        <f>C12+C13+C34+C35</f>
        <v>0</v>
      </c>
    </row>
    <row r="37" spans="1:3">
      <c r="A37" s="41" t="s">
        <v>116</v>
      </c>
      <c r="B37" s="39"/>
      <c r="C37" s="38">
        <f>SUM(C38:C42)</f>
        <v>0</v>
      </c>
    </row>
    <row r="38" spans="1:3">
      <c r="A38" s="42" t="s">
        <v>117</v>
      </c>
      <c r="B38" s="39"/>
      <c r="C38" s="43">
        <v>0</v>
      </c>
    </row>
    <row r="39" spans="1:3">
      <c r="A39" s="42" t="s">
        <v>118</v>
      </c>
      <c r="B39" s="39"/>
      <c r="C39" s="43">
        <v>0</v>
      </c>
    </row>
    <row r="40" spans="1:3">
      <c r="A40" s="42" t="s">
        <v>119</v>
      </c>
      <c r="B40" s="39"/>
      <c r="C40" s="43">
        <v>0</v>
      </c>
    </row>
    <row r="41" spans="1:3">
      <c r="A41" s="42" t="s">
        <v>120</v>
      </c>
      <c r="B41" s="39"/>
      <c r="C41" s="43">
        <v>0</v>
      </c>
    </row>
    <row r="42" spans="1:3">
      <c r="A42" s="42" t="s">
        <v>121</v>
      </c>
      <c r="B42" s="39"/>
      <c r="C42" s="43">
        <v>0</v>
      </c>
    </row>
    <row r="43" spans="1:3">
      <c r="A43" s="41" t="s">
        <v>122</v>
      </c>
      <c r="B43" s="39"/>
      <c r="C43" s="43"/>
    </row>
    <row r="44" spans="1:3">
      <c r="A44" s="41" t="s">
        <v>123</v>
      </c>
      <c r="B44" s="39"/>
      <c r="C44" s="38">
        <f>C36+C37+C43</f>
        <v>0</v>
      </c>
    </row>
    <row r="45" spans="1:3">
      <c r="A45" s="39"/>
      <c r="B45" s="39"/>
      <c r="C45" s="38"/>
    </row>
    <row r="46" spans="1:3">
      <c r="A46" s="41" t="s">
        <v>124</v>
      </c>
      <c r="B46" s="39"/>
      <c r="C46" s="38"/>
    </row>
    <row r="47" spans="1:3">
      <c r="A47" s="41" t="s">
        <v>125</v>
      </c>
      <c r="B47" s="39"/>
      <c r="C47" s="38">
        <f>SUM(C48:C49)</f>
        <v>0</v>
      </c>
    </row>
    <row r="48" spans="1:3">
      <c r="A48" s="42" t="s">
        <v>126</v>
      </c>
      <c r="B48" s="39"/>
      <c r="C48" s="43">
        <v>0</v>
      </c>
    </row>
    <row r="49" spans="1:3">
      <c r="A49" s="42" t="s">
        <v>127</v>
      </c>
      <c r="B49" s="39"/>
      <c r="C49" s="43">
        <v>0</v>
      </c>
    </row>
    <row r="50" spans="1:3">
      <c r="A50" s="41" t="s">
        <v>128</v>
      </c>
      <c r="B50" s="39"/>
      <c r="C50" s="43"/>
    </row>
    <row r="51" spans="1:3">
      <c r="A51" s="41" t="s">
        <v>129</v>
      </c>
      <c r="B51" s="39"/>
      <c r="C51" s="43">
        <v>0</v>
      </c>
    </row>
    <row r="52" spans="1:3">
      <c r="A52" s="41" t="s">
        <v>130</v>
      </c>
      <c r="B52" s="39"/>
      <c r="C52" s="43"/>
    </row>
    <row r="53" spans="1:3">
      <c r="A53" s="41"/>
      <c r="B53" s="39"/>
      <c r="C53" s="43"/>
    </row>
    <row r="54" spans="1:3">
      <c r="A54" s="41" t="s">
        <v>131</v>
      </c>
      <c r="B54" s="39"/>
      <c r="C54" s="38">
        <f>SUM(C47+C50+C51+C52)</f>
        <v>0</v>
      </c>
    </row>
    <row r="55" spans="1:3">
      <c r="A55" s="41"/>
      <c r="B55" s="39"/>
      <c r="C55" s="38"/>
    </row>
    <row r="56" spans="1:3">
      <c r="A56" s="41" t="s">
        <v>132</v>
      </c>
      <c r="B56" s="39"/>
      <c r="C56" s="43"/>
    </row>
    <row r="57" spans="1:3">
      <c r="A57" s="39"/>
      <c r="B57" s="39"/>
      <c r="C57" s="43"/>
    </row>
    <row r="58" spans="1:3">
      <c r="A58" s="41" t="s">
        <v>133</v>
      </c>
      <c r="B58" s="39"/>
      <c r="C58" s="38">
        <f>SUM(C59:C61)</f>
        <v>0</v>
      </c>
    </row>
    <row r="59" spans="1:3">
      <c r="A59" s="42" t="s">
        <v>134</v>
      </c>
      <c r="B59" s="39"/>
      <c r="C59" s="43">
        <v>0</v>
      </c>
    </row>
    <row r="60" spans="1:3">
      <c r="A60" s="42" t="s">
        <v>135</v>
      </c>
      <c r="B60" s="39"/>
      <c r="C60" s="43">
        <v>0</v>
      </c>
    </row>
    <row r="61" spans="1:3">
      <c r="A61" s="42" t="s">
        <v>136</v>
      </c>
      <c r="B61" s="39"/>
      <c r="C61" s="43">
        <v>0</v>
      </c>
    </row>
    <row r="62" spans="1:3">
      <c r="A62" s="41" t="s">
        <v>137</v>
      </c>
      <c r="B62" s="39"/>
      <c r="C62" s="38">
        <f>SUM(C54+C56+C58)</f>
        <v>0</v>
      </c>
    </row>
    <row r="63" spans="1:3">
      <c r="A63" s="39"/>
      <c r="B63" s="39"/>
      <c r="C63" s="38"/>
    </row>
    <row r="64" spans="1:3">
      <c r="A64" s="41" t="s">
        <v>138</v>
      </c>
      <c r="B64" s="39"/>
      <c r="C64" s="38">
        <f>SUM(C65:C72)</f>
        <v>0</v>
      </c>
    </row>
    <row r="65" spans="1:3">
      <c r="A65" s="39" t="s">
        <v>139</v>
      </c>
      <c r="B65" s="39"/>
      <c r="C65" s="43"/>
    </row>
    <row r="66" spans="1:3">
      <c r="A66" s="39" t="s">
        <v>140</v>
      </c>
      <c r="B66" s="39"/>
      <c r="C66" s="43"/>
    </row>
    <row r="67" spans="1:3">
      <c r="A67" s="39" t="s">
        <v>141</v>
      </c>
      <c r="B67" s="39"/>
      <c r="C67" s="43">
        <v>0</v>
      </c>
    </row>
    <row r="68" spans="1:3">
      <c r="A68" s="39" t="s">
        <v>142</v>
      </c>
      <c r="B68" s="39"/>
      <c r="C68" s="43">
        <v>0</v>
      </c>
    </row>
    <row r="69" spans="1:3">
      <c r="A69" s="39" t="s">
        <v>143</v>
      </c>
      <c r="B69" s="39"/>
      <c r="C69" s="43">
        <v>0</v>
      </c>
    </row>
    <row r="70" spans="1:3">
      <c r="A70" s="39" t="s">
        <v>144</v>
      </c>
      <c r="B70" s="39"/>
      <c r="C70" s="43">
        <v>0</v>
      </c>
    </row>
    <row r="71" spans="1:3">
      <c r="A71" s="39" t="s">
        <v>145</v>
      </c>
      <c r="B71" s="39"/>
      <c r="C71" s="43">
        <v>0</v>
      </c>
    </row>
    <row r="72" spans="1:3">
      <c r="A72" s="39" t="s">
        <v>146</v>
      </c>
      <c r="B72" s="39"/>
      <c r="C72" s="38">
        <f>SUM(C73:C74)</f>
        <v>0</v>
      </c>
    </row>
    <row r="73" spans="1:3">
      <c r="A73" s="42" t="s">
        <v>147</v>
      </c>
      <c r="B73" s="39"/>
      <c r="C73" s="43">
        <f>'COMPREHENSIVE INCOME'!C62</f>
        <v>0</v>
      </c>
    </row>
    <row r="74" spans="1:3">
      <c r="A74" s="42" t="s">
        <v>148</v>
      </c>
      <c r="B74" s="39"/>
      <c r="C74" s="43"/>
    </row>
    <row r="75" spans="1:3">
      <c r="A75" s="41" t="s">
        <v>149</v>
      </c>
      <c r="B75" s="39"/>
      <c r="C75" s="38">
        <f>C62+C64</f>
        <v>0</v>
      </c>
    </row>
  </sheetData>
  <mergeCells count="2">
    <mergeCell ref="A8:C8"/>
    <mergeCell ref="A9:C9"/>
  </mergeCells>
  <pageMargins left="0.75" right="0.75" top="1" bottom="1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zoomScale="80" zoomScaleNormal="80" zoomScalePageLayoutView="80" workbookViewId="0"/>
  </sheetViews>
  <sheetFormatPr baseColWidth="10" defaultColWidth="8.83203125" defaultRowHeight="15" x14ac:dyDescent="0"/>
  <cols>
    <col min="1" max="1" width="21.6640625" bestFit="1" customWidth="1"/>
    <col min="2" max="2" width="23.33203125" bestFit="1" customWidth="1"/>
    <col min="3" max="3" width="10.33203125" bestFit="1" customWidth="1"/>
    <col min="4" max="4" width="19" bestFit="1" customWidth="1"/>
    <col min="5" max="5" width="12.33203125" bestFit="1" customWidth="1"/>
    <col min="6" max="6" width="15" bestFit="1" customWidth="1"/>
    <col min="7" max="7" width="15.6640625" bestFit="1" customWidth="1"/>
  </cols>
  <sheetData>
    <row r="1" spans="1:7">
      <c r="A1" s="48" t="s">
        <v>150</v>
      </c>
      <c r="B1" s="39"/>
      <c r="C1" s="39"/>
      <c r="D1" s="39"/>
      <c r="E1" s="39"/>
      <c r="F1" s="39"/>
      <c r="G1" s="39"/>
    </row>
    <row r="2" spans="1:7">
      <c r="A2" s="32"/>
      <c r="B2" s="39"/>
      <c r="C2" s="39"/>
      <c r="D2" s="39"/>
      <c r="E2" s="39"/>
      <c r="F2" s="39"/>
      <c r="G2" s="39"/>
    </row>
    <row r="3" spans="1:7">
      <c r="A3" s="32" t="s">
        <v>30</v>
      </c>
      <c r="B3" s="49" t="str">
        <f>'STATEMENT OF FIN POSITION '!B3</f>
        <v>000595</v>
      </c>
      <c r="C3" s="39"/>
      <c r="D3" s="39"/>
      <c r="E3" s="39"/>
      <c r="F3" s="39"/>
      <c r="G3" s="39"/>
    </row>
    <row r="4" spans="1:7">
      <c r="A4" s="32" t="s">
        <v>32</v>
      </c>
      <c r="B4" s="52">
        <f>'STATEMENT OF FIN POSITION '!B4</f>
        <v>2014</v>
      </c>
      <c r="C4" s="39"/>
      <c r="D4" s="39"/>
      <c r="E4" s="39"/>
      <c r="F4" s="39"/>
      <c r="G4" s="39"/>
    </row>
    <row r="5" spans="1:7">
      <c r="A5" s="32" t="s">
        <v>33</v>
      </c>
      <c r="B5" s="50">
        <f>'STATEMENT OF FIN POSITION '!B5</f>
        <v>41583</v>
      </c>
      <c r="C5" s="39"/>
      <c r="D5" s="39"/>
      <c r="E5" s="39"/>
      <c r="F5" s="39"/>
      <c r="G5" s="39"/>
    </row>
    <row r="6" spans="1:7">
      <c r="A6" s="32" t="s">
        <v>34</v>
      </c>
      <c r="B6" s="50">
        <f>'STATEMENT OF FIN POSITION '!B6</f>
        <v>42004</v>
      </c>
      <c r="C6" s="39"/>
      <c r="D6" s="39"/>
      <c r="E6" s="39"/>
      <c r="F6" s="39"/>
      <c r="G6" s="39"/>
    </row>
    <row r="7" spans="1:7">
      <c r="A7" s="39"/>
      <c r="B7" s="39"/>
      <c r="C7" s="39"/>
      <c r="D7" s="39"/>
      <c r="E7" s="39"/>
      <c r="F7" s="39"/>
      <c r="G7" s="39"/>
    </row>
    <row r="8" spans="1:7">
      <c r="A8" s="39"/>
      <c r="B8" s="39"/>
      <c r="C8" s="39"/>
      <c r="D8" s="39"/>
      <c r="E8" s="39"/>
      <c r="F8" s="39"/>
      <c r="G8" s="39"/>
    </row>
    <row r="9" spans="1:7">
      <c r="A9" s="95" t="s">
        <v>151</v>
      </c>
      <c r="B9" s="95"/>
      <c r="C9" s="95"/>
      <c r="D9" s="95"/>
      <c r="E9" s="95"/>
      <c r="F9" s="95"/>
      <c r="G9" s="95"/>
    </row>
    <row r="10" spans="1:7" s="57" customFormat="1">
      <c r="A10" s="51" t="s">
        <v>152</v>
      </c>
      <c r="B10" s="56" t="s">
        <v>153</v>
      </c>
      <c r="C10" s="56" t="s">
        <v>154</v>
      </c>
      <c r="D10" s="56" t="s">
        <v>155</v>
      </c>
      <c r="E10" s="56" t="s">
        <v>156</v>
      </c>
      <c r="F10" s="56" t="s">
        <v>157</v>
      </c>
      <c r="G10" s="56" t="s">
        <v>158</v>
      </c>
    </row>
    <row r="11" spans="1:7" s="57" customFormat="1">
      <c r="A11" s="51" t="s">
        <v>159</v>
      </c>
      <c r="B11" s="56"/>
      <c r="C11" s="56"/>
      <c r="D11" s="56"/>
      <c r="E11" s="56"/>
      <c r="F11" s="56"/>
      <c r="G11" s="56"/>
    </row>
    <row r="12" spans="1:7">
      <c r="A12" s="58"/>
      <c r="B12" s="58"/>
      <c r="C12" s="58"/>
      <c r="D12" s="58"/>
      <c r="E12" s="58"/>
      <c r="F12" s="58"/>
      <c r="G12" s="58"/>
    </row>
    <row r="13" spans="1:7">
      <c r="A13" s="97" t="s">
        <v>160</v>
      </c>
      <c r="B13" s="97"/>
      <c r="C13" s="97"/>
      <c r="D13" s="97"/>
      <c r="E13" s="97"/>
      <c r="F13" s="97"/>
      <c r="G13" s="97"/>
    </row>
    <row r="14" spans="1:7">
      <c r="A14" s="58"/>
      <c r="B14" s="58"/>
      <c r="C14" s="58"/>
      <c r="D14" s="58"/>
      <c r="E14" s="58"/>
      <c r="F14" s="58"/>
      <c r="G14" s="58"/>
    </row>
    <row r="15" spans="1:7">
      <c r="A15" s="58"/>
      <c r="B15" s="58"/>
      <c r="C15" s="58"/>
      <c r="D15" s="58"/>
      <c r="E15" s="58"/>
      <c r="F15" s="58"/>
      <c r="G15" s="58"/>
    </row>
    <row r="16" spans="1:7">
      <c r="A16" s="58"/>
      <c r="B16" s="58"/>
      <c r="C16" s="58"/>
      <c r="D16" s="58"/>
      <c r="E16" s="58"/>
      <c r="F16" s="58"/>
      <c r="G16" s="58"/>
    </row>
    <row r="17" spans="1:7">
      <c r="A17" s="58"/>
      <c r="B17" s="58"/>
      <c r="C17" s="58"/>
      <c r="D17" s="58"/>
      <c r="E17" s="58"/>
      <c r="F17" s="58"/>
      <c r="G17" s="58"/>
    </row>
    <row r="18" spans="1:7">
      <c r="A18" s="58"/>
      <c r="B18" s="58"/>
      <c r="C18" s="58"/>
      <c r="D18" s="58"/>
      <c r="E18" s="58"/>
      <c r="F18" s="58"/>
      <c r="G18" s="58"/>
    </row>
    <row r="19" spans="1:7">
      <c r="A19" s="58"/>
      <c r="B19" s="58"/>
      <c r="C19" s="58"/>
      <c r="D19" s="58"/>
      <c r="E19" s="58"/>
      <c r="F19" s="58"/>
      <c r="G19" s="58"/>
    </row>
    <row r="20" spans="1:7">
      <c r="A20" s="58"/>
      <c r="B20" s="58"/>
      <c r="C20" s="58"/>
      <c r="D20" s="58"/>
      <c r="E20" s="58"/>
      <c r="F20" s="58"/>
      <c r="G20" s="58"/>
    </row>
    <row r="21" spans="1:7">
      <c r="A21" s="58"/>
      <c r="B21" s="58"/>
      <c r="C21" s="58"/>
      <c r="D21" s="58"/>
      <c r="E21" s="58"/>
      <c r="F21" s="58"/>
      <c r="G21" s="58"/>
    </row>
    <row r="22" spans="1:7">
      <c r="A22" s="58"/>
      <c r="B22" s="58"/>
      <c r="C22" s="58"/>
      <c r="D22" s="58"/>
      <c r="E22" s="58"/>
      <c r="F22" s="58"/>
      <c r="G22" s="58"/>
    </row>
    <row r="23" spans="1:7">
      <c r="A23" s="58"/>
      <c r="B23" s="58"/>
      <c r="C23" s="58"/>
      <c r="D23" s="58"/>
      <c r="E23" s="58"/>
      <c r="F23" s="58"/>
      <c r="G23" s="58"/>
    </row>
    <row r="24" spans="1:7">
      <c r="A24" s="58"/>
      <c r="B24" s="58"/>
      <c r="C24" s="58"/>
      <c r="D24" s="58"/>
      <c r="E24" s="58"/>
      <c r="F24" s="58"/>
      <c r="G24" s="58"/>
    </row>
    <row r="25" spans="1:7">
      <c r="A25" s="58"/>
      <c r="B25" s="58"/>
      <c r="C25" s="58"/>
      <c r="D25" s="58"/>
      <c r="E25" s="58"/>
      <c r="F25" s="58"/>
      <c r="G25" s="58"/>
    </row>
    <row r="26" spans="1:7">
      <c r="A26" s="58"/>
      <c r="B26" s="58"/>
      <c r="C26" s="58"/>
      <c r="D26" s="58"/>
      <c r="E26" s="58"/>
      <c r="F26" s="58"/>
      <c r="G26" s="58"/>
    </row>
    <row r="27" spans="1:7">
      <c r="A27" s="58"/>
      <c r="B27" s="58"/>
      <c r="C27" s="58"/>
      <c r="D27" s="58"/>
      <c r="E27" s="58"/>
      <c r="F27" s="58"/>
      <c r="G27" s="58"/>
    </row>
    <row r="28" spans="1:7">
      <c r="A28" s="58"/>
      <c r="B28" s="58"/>
      <c r="C28" s="58"/>
      <c r="D28" s="58"/>
      <c r="E28" s="58"/>
      <c r="F28" s="58"/>
      <c r="G28" s="58"/>
    </row>
    <row r="29" spans="1:7">
      <c r="A29" s="58"/>
      <c r="B29" s="58"/>
      <c r="C29" s="58"/>
      <c r="D29" s="58"/>
      <c r="E29" s="58"/>
      <c r="F29" s="58"/>
      <c r="G29" s="58"/>
    </row>
    <row r="30" spans="1:7">
      <c r="A30" s="58"/>
      <c r="B30" s="58"/>
      <c r="C30" s="58"/>
      <c r="D30" s="58"/>
      <c r="E30" s="58"/>
      <c r="F30" s="58"/>
      <c r="G30" s="58"/>
    </row>
    <row r="31" spans="1:7">
      <c r="A31" s="58"/>
      <c r="B31" s="58"/>
      <c r="C31" s="58"/>
      <c r="D31" s="58"/>
      <c r="E31" s="58"/>
      <c r="F31" s="58"/>
      <c r="G31" s="58"/>
    </row>
  </sheetData>
  <mergeCells count="2">
    <mergeCell ref="A9:G9"/>
    <mergeCell ref="A13:G13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80" zoomScaleNormal="80" zoomScalePageLayoutView="80" workbookViewId="0"/>
  </sheetViews>
  <sheetFormatPr baseColWidth="10" defaultColWidth="8.83203125" defaultRowHeight="15" x14ac:dyDescent="0"/>
  <cols>
    <col min="1" max="1" width="28.1640625" bestFit="1" customWidth="1"/>
    <col min="2" max="2" width="17" bestFit="1" customWidth="1"/>
    <col min="3" max="3" width="14.83203125" bestFit="1" customWidth="1"/>
    <col min="4" max="4" width="12.33203125" bestFit="1" customWidth="1"/>
    <col min="5" max="5" width="13.33203125" bestFit="1" customWidth="1"/>
  </cols>
  <sheetData>
    <row r="1" spans="1:5">
      <c r="A1" s="48" t="s">
        <v>161</v>
      </c>
      <c r="B1" s="39"/>
      <c r="C1" s="39"/>
      <c r="D1" s="39"/>
      <c r="E1" s="39"/>
    </row>
    <row r="2" spans="1:5">
      <c r="A2" s="32"/>
      <c r="B2" s="39"/>
      <c r="C2" s="39"/>
      <c r="D2" s="39"/>
      <c r="E2" s="39"/>
    </row>
    <row r="3" spans="1:5">
      <c r="A3" s="32" t="s">
        <v>30</v>
      </c>
      <c r="B3" s="49" t="str">
        <f>'SCHEDULE 1 INSIDER LOANS'!B3</f>
        <v>000595</v>
      </c>
      <c r="C3" s="39"/>
      <c r="D3" s="39"/>
      <c r="E3" s="39"/>
    </row>
    <row r="4" spans="1:5">
      <c r="A4" s="32" t="s">
        <v>32</v>
      </c>
      <c r="B4" s="49">
        <f>'SCHEDULE 1 INSIDER LOANS'!B4</f>
        <v>2014</v>
      </c>
      <c r="C4" s="39"/>
      <c r="D4" s="39"/>
      <c r="E4" s="39"/>
    </row>
    <row r="5" spans="1:5">
      <c r="A5" s="32" t="s">
        <v>33</v>
      </c>
      <c r="B5" s="50">
        <f>'SCHEDULE 1 INSIDER LOANS'!B5</f>
        <v>41583</v>
      </c>
      <c r="C5" s="39"/>
      <c r="D5" s="39"/>
      <c r="E5" s="39"/>
    </row>
    <row r="6" spans="1:5">
      <c r="A6" s="32" t="s">
        <v>34</v>
      </c>
      <c r="B6" s="50">
        <f>'SCHEDULE 1 INSIDER LOANS'!B6</f>
        <v>42004</v>
      </c>
      <c r="C6" s="39"/>
      <c r="D6" s="39"/>
      <c r="E6" s="39"/>
    </row>
    <row r="7" spans="1:5">
      <c r="A7" s="39"/>
      <c r="B7" s="39"/>
      <c r="C7" s="39"/>
      <c r="D7" s="39"/>
      <c r="E7" s="39"/>
    </row>
    <row r="8" spans="1:5">
      <c r="A8" s="36" t="s">
        <v>162</v>
      </c>
      <c r="B8" s="37"/>
      <c r="C8" s="37"/>
      <c r="D8" s="37"/>
      <c r="E8" s="37"/>
    </row>
    <row r="9" spans="1:5" s="57" customFormat="1">
      <c r="A9" s="51" t="s">
        <v>163</v>
      </c>
      <c r="B9" s="56" t="s">
        <v>164</v>
      </c>
      <c r="C9" s="56" t="s">
        <v>165</v>
      </c>
      <c r="D9" s="56" t="s">
        <v>156</v>
      </c>
      <c r="E9" s="56" t="s">
        <v>166</v>
      </c>
    </row>
    <row r="10" spans="1:5">
      <c r="A10" s="59" t="s">
        <v>167</v>
      </c>
      <c r="B10" s="37"/>
      <c r="C10" s="37"/>
      <c r="D10" s="37"/>
      <c r="E10" s="37"/>
    </row>
    <row r="11" spans="1:5">
      <c r="A11" s="58"/>
      <c r="B11" s="58"/>
      <c r="C11" s="58"/>
      <c r="D11" s="58"/>
      <c r="E11" s="58"/>
    </row>
    <row r="12" spans="1:5">
      <c r="A12" s="58"/>
      <c r="B12" s="43"/>
      <c r="C12" s="43"/>
      <c r="D12" s="60"/>
      <c r="E12" s="61"/>
    </row>
    <row r="13" spans="1:5">
      <c r="A13" s="58"/>
      <c r="B13" s="58"/>
      <c r="C13" s="58"/>
      <c r="D13" s="58"/>
      <c r="E13" s="58"/>
    </row>
    <row r="14" spans="1:5">
      <c r="A14" s="58"/>
      <c r="B14" s="58"/>
      <c r="C14" s="58"/>
      <c r="D14" s="58"/>
      <c r="E14" s="58"/>
    </row>
    <row r="15" spans="1:5">
      <c r="A15" s="58"/>
      <c r="B15" s="58"/>
      <c r="C15" s="58"/>
      <c r="D15" s="58"/>
      <c r="E15" s="58"/>
    </row>
    <row r="16" spans="1:5">
      <c r="A16" s="58"/>
      <c r="B16" s="58"/>
      <c r="C16" s="58"/>
      <c r="D16" s="58"/>
      <c r="E16" s="58"/>
    </row>
    <row r="17" spans="1:5">
      <c r="A17" s="58"/>
      <c r="B17" s="58"/>
      <c r="C17" s="58"/>
      <c r="D17" s="58"/>
      <c r="E17" s="58"/>
    </row>
    <row r="18" spans="1:5">
      <c r="A18" s="58"/>
      <c r="B18" s="58"/>
      <c r="C18" s="58"/>
      <c r="D18" s="58"/>
      <c r="E18" s="58"/>
    </row>
    <row r="19" spans="1:5">
      <c r="A19" s="58"/>
      <c r="B19" s="58"/>
      <c r="C19" s="58"/>
      <c r="D19" s="58"/>
      <c r="E19" s="58"/>
    </row>
    <row r="20" spans="1:5">
      <c r="A20" s="58"/>
      <c r="B20" s="58"/>
      <c r="C20" s="58"/>
      <c r="D20" s="58"/>
      <c r="E20" s="58"/>
    </row>
    <row r="21" spans="1:5">
      <c r="A21" s="58"/>
      <c r="B21" s="58"/>
      <c r="C21" s="58"/>
      <c r="D21" s="58"/>
      <c r="E21" s="58"/>
    </row>
    <row r="22" spans="1:5">
      <c r="A22" s="58"/>
      <c r="B22" s="58"/>
      <c r="C22" s="58"/>
      <c r="D22" s="58"/>
      <c r="E22" s="58"/>
    </row>
    <row r="23" spans="1:5">
      <c r="A23" s="58"/>
      <c r="B23" s="58"/>
      <c r="C23" s="58"/>
      <c r="D23" s="58"/>
      <c r="E23" s="58"/>
    </row>
    <row r="24" spans="1:5">
      <c r="A24" s="58"/>
      <c r="B24" s="58"/>
      <c r="C24" s="58"/>
      <c r="D24" s="58"/>
      <c r="E24" s="58"/>
    </row>
    <row r="25" spans="1:5">
      <c r="A25" s="58"/>
      <c r="B25" s="58"/>
      <c r="C25" s="58"/>
      <c r="D25" s="58"/>
      <c r="E25" s="58"/>
    </row>
    <row r="26" spans="1:5">
      <c r="A26" s="58"/>
      <c r="B26" s="58"/>
      <c r="C26" s="58"/>
      <c r="D26" s="58"/>
      <c r="E26" s="58"/>
    </row>
    <row r="27" spans="1:5">
      <c r="A27" s="58"/>
      <c r="B27" s="58"/>
      <c r="C27" s="58"/>
      <c r="D27" s="58"/>
      <c r="E27" s="58"/>
    </row>
    <row r="28" spans="1:5">
      <c r="A28" s="58"/>
      <c r="B28" s="58"/>
      <c r="C28" s="58"/>
      <c r="D28" s="58"/>
      <c r="E28" s="58"/>
    </row>
    <row r="29" spans="1:5">
      <c r="A29" s="58"/>
      <c r="B29" s="58"/>
      <c r="C29" s="58"/>
      <c r="D29" s="58"/>
      <c r="E29" s="58"/>
    </row>
    <row r="30" spans="1:5">
      <c r="A30" s="58"/>
      <c r="B30" s="58"/>
      <c r="C30" s="58"/>
      <c r="D30" s="58"/>
      <c r="E30" s="58"/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34"/>
  <sheetViews>
    <sheetView zoomScale="80" zoomScaleNormal="80" zoomScalePageLayoutView="80" workbookViewId="0"/>
  </sheetViews>
  <sheetFormatPr baseColWidth="10" defaultColWidth="8.83203125" defaultRowHeight="15" x14ac:dyDescent="0"/>
  <cols>
    <col min="1" max="1" width="22.6640625" bestFit="1" customWidth="1"/>
    <col min="2" max="2" width="11.83203125" bestFit="1" customWidth="1"/>
    <col min="3" max="3" width="7.33203125" bestFit="1" customWidth="1"/>
    <col min="4" max="5" width="11" bestFit="1" customWidth="1"/>
  </cols>
  <sheetData>
    <row r="1" spans="1:6">
      <c r="A1" s="48" t="s">
        <v>168</v>
      </c>
      <c r="B1" s="39"/>
      <c r="C1" s="39"/>
      <c r="D1" s="39"/>
      <c r="E1" s="39"/>
    </row>
    <row r="2" spans="1:6">
      <c r="A2" s="39"/>
      <c r="B2" s="39"/>
      <c r="C2" s="39"/>
      <c r="D2" s="39"/>
      <c r="E2" s="39"/>
    </row>
    <row r="3" spans="1:6">
      <c r="A3" s="32" t="s">
        <v>30</v>
      </c>
      <c r="B3" s="49" t="str">
        <f>'SCHEDULE 2 LONG TERM DEBT '!B3</f>
        <v>000595</v>
      </c>
      <c r="C3" s="39"/>
      <c r="D3" s="39"/>
      <c r="E3" s="39"/>
    </row>
    <row r="4" spans="1:6">
      <c r="A4" s="32" t="s">
        <v>32</v>
      </c>
      <c r="B4" s="49">
        <f>'SCHEDULE 2 LONG TERM DEBT '!B4</f>
        <v>2014</v>
      </c>
      <c r="C4" s="39"/>
      <c r="D4" s="39"/>
      <c r="E4" s="39"/>
    </row>
    <row r="5" spans="1:6">
      <c r="A5" s="32" t="s">
        <v>33</v>
      </c>
      <c r="B5" s="50">
        <f>'SCHEDULE 2 LONG TERM DEBT '!B5</f>
        <v>41583</v>
      </c>
      <c r="C5" s="39"/>
      <c r="D5" s="39"/>
      <c r="E5" s="39"/>
    </row>
    <row r="6" spans="1:6">
      <c r="A6" s="32" t="s">
        <v>34</v>
      </c>
      <c r="B6" s="50">
        <f>'SCHEDULE 2 LONG TERM DEBT '!B6</f>
        <v>42004</v>
      </c>
      <c r="C6" s="39"/>
      <c r="D6" s="39"/>
      <c r="E6" s="39"/>
    </row>
    <row r="7" spans="1:6">
      <c r="A7" s="39"/>
      <c r="B7" s="39"/>
      <c r="C7" s="39"/>
      <c r="D7" s="39"/>
      <c r="E7" s="39"/>
    </row>
    <row r="8" spans="1:6">
      <c r="A8" s="95" t="s">
        <v>169</v>
      </c>
      <c r="B8" s="95"/>
      <c r="C8" s="95"/>
      <c r="D8" s="95"/>
      <c r="E8" s="95"/>
    </row>
    <row r="9" spans="1:6">
      <c r="A9" s="95" t="s">
        <v>170</v>
      </c>
      <c r="B9" s="95"/>
      <c r="C9" s="95"/>
      <c r="D9" s="95"/>
      <c r="E9" s="95"/>
    </row>
    <row r="10" spans="1:6">
      <c r="A10" s="37"/>
      <c r="B10" s="37"/>
      <c r="C10" s="37"/>
      <c r="D10" s="37"/>
      <c r="E10" s="37"/>
    </row>
    <row r="11" spans="1:6" ht="60">
      <c r="A11" s="36"/>
      <c r="B11" s="62" t="s">
        <v>171</v>
      </c>
      <c r="C11" s="62" t="s">
        <v>172</v>
      </c>
      <c r="D11" s="62" t="s">
        <v>173</v>
      </c>
      <c r="E11" s="62" t="s">
        <v>174</v>
      </c>
      <c r="F11" s="63"/>
    </row>
    <row r="12" spans="1:6">
      <c r="A12" s="36" t="s">
        <v>175</v>
      </c>
      <c r="B12" s="62"/>
      <c r="C12" s="64">
        <f>SUM(C13:C15)</f>
        <v>0</v>
      </c>
      <c r="D12" s="65">
        <v>0.01</v>
      </c>
      <c r="E12" s="66">
        <f t="shared" ref="E12:E31" si="0">C12*D12</f>
        <v>0</v>
      </c>
      <c r="F12" s="63"/>
    </row>
    <row r="13" spans="1:6">
      <c r="A13" s="67" t="s">
        <v>176</v>
      </c>
      <c r="B13" s="52">
        <v>0</v>
      </c>
      <c r="C13" s="43"/>
      <c r="D13" s="65">
        <v>0.01</v>
      </c>
      <c r="E13" s="68">
        <f t="shared" si="0"/>
        <v>0</v>
      </c>
    </row>
    <row r="14" spans="1:6">
      <c r="A14" s="67" t="s">
        <v>177</v>
      </c>
      <c r="B14" s="37"/>
      <c r="C14" s="43">
        <v>0</v>
      </c>
      <c r="D14" s="65">
        <v>0.01</v>
      </c>
      <c r="E14" s="66">
        <f t="shared" si="0"/>
        <v>0</v>
      </c>
    </row>
    <row r="15" spans="1:6">
      <c r="A15" s="67" t="s">
        <v>178</v>
      </c>
      <c r="B15" s="37"/>
      <c r="C15" s="43">
        <v>0</v>
      </c>
      <c r="D15" s="65">
        <v>0.01</v>
      </c>
      <c r="E15" s="66">
        <f t="shared" si="0"/>
        <v>0</v>
      </c>
    </row>
    <row r="16" spans="1:6">
      <c r="A16" s="36" t="s">
        <v>179</v>
      </c>
      <c r="B16" s="52" t="s">
        <v>180</v>
      </c>
      <c r="C16" s="38">
        <f>SUM(C17:C19)</f>
        <v>0</v>
      </c>
      <c r="D16" s="65">
        <v>0.2</v>
      </c>
      <c r="E16" s="66">
        <f t="shared" si="0"/>
        <v>0</v>
      </c>
    </row>
    <row r="17" spans="1:5">
      <c r="A17" s="67" t="s">
        <v>176</v>
      </c>
      <c r="B17" s="52"/>
      <c r="C17" s="43"/>
      <c r="D17" s="65">
        <v>0.2</v>
      </c>
      <c r="E17" s="66">
        <f t="shared" si="0"/>
        <v>0</v>
      </c>
    </row>
    <row r="18" spans="1:5">
      <c r="A18" s="67" t="s">
        <v>177</v>
      </c>
      <c r="B18" s="52"/>
      <c r="C18" s="43">
        <v>0</v>
      </c>
      <c r="D18" s="65">
        <v>0.2</v>
      </c>
      <c r="E18" s="66">
        <f t="shared" si="0"/>
        <v>0</v>
      </c>
    </row>
    <row r="19" spans="1:5">
      <c r="A19" s="67" t="s">
        <v>178</v>
      </c>
      <c r="B19" s="52"/>
      <c r="C19" s="43">
        <v>0</v>
      </c>
      <c r="D19" s="65">
        <v>0.2</v>
      </c>
      <c r="E19" s="66">
        <f t="shared" si="0"/>
        <v>0</v>
      </c>
    </row>
    <row r="20" spans="1:5">
      <c r="A20" s="36" t="s">
        <v>181</v>
      </c>
      <c r="B20" s="52" t="s">
        <v>182</v>
      </c>
      <c r="C20" s="38">
        <f>SUM(C21:C23)</f>
        <v>0</v>
      </c>
      <c r="D20" s="65">
        <v>0.5</v>
      </c>
      <c r="E20" s="66">
        <f t="shared" si="0"/>
        <v>0</v>
      </c>
    </row>
    <row r="21" spans="1:5">
      <c r="A21" s="67" t="s">
        <v>176</v>
      </c>
      <c r="B21" s="52"/>
      <c r="C21" s="43">
        <v>0</v>
      </c>
      <c r="D21" s="65">
        <v>0.5</v>
      </c>
      <c r="E21" s="66">
        <f t="shared" si="0"/>
        <v>0</v>
      </c>
    </row>
    <row r="22" spans="1:5">
      <c r="A22" s="67" t="s">
        <v>177</v>
      </c>
      <c r="B22" s="52"/>
      <c r="C22" s="43">
        <v>0</v>
      </c>
      <c r="D22" s="65">
        <v>0.5</v>
      </c>
      <c r="E22" s="66">
        <f t="shared" si="0"/>
        <v>0</v>
      </c>
    </row>
    <row r="23" spans="1:5">
      <c r="A23" s="67" t="s">
        <v>178</v>
      </c>
      <c r="B23" s="52"/>
      <c r="C23" s="43">
        <v>0</v>
      </c>
      <c r="D23" s="65">
        <v>0.5</v>
      </c>
      <c r="E23" s="66">
        <f t="shared" si="0"/>
        <v>0</v>
      </c>
    </row>
    <row r="24" spans="1:5">
      <c r="A24" s="36" t="s">
        <v>183</v>
      </c>
      <c r="B24" s="52" t="s">
        <v>184</v>
      </c>
      <c r="C24" s="38">
        <f>SUM(C25:C27)</f>
        <v>0</v>
      </c>
      <c r="D24" s="65">
        <v>0.75</v>
      </c>
      <c r="E24" s="66">
        <f t="shared" si="0"/>
        <v>0</v>
      </c>
    </row>
    <row r="25" spans="1:5">
      <c r="A25" s="67" t="s">
        <v>176</v>
      </c>
      <c r="B25" s="52"/>
      <c r="C25" s="43"/>
      <c r="D25" s="65">
        <v>0.75</v>
      </c>
      <c r="E25" s="66">
        <f t="shared" si="0"/>
        <v>0</v>
      </c>
    </row>
    <row r="26" spans="1:5">
      <c r="A26" s="67" t="s">
        <v>177</v>
      </c>
      <c r="B26" s="52"/>
      <c r="C26" s="43">
        <v>0</v>
      </c>
      <c r="D26" s="65">
        <v>0.75</v>
      </c>
      <c r="E26" s="66">
        <f t="shared" si="0"/>
        <v>0</v>
      </c>
    </row>
    <row r="27" spans="1:5">
      <c r="A27" s="67" t="s">
        <v>178</v>
      </c>
      <c r="B27" s="52"/>
      <c r="C27" s="43">
        <v>0</v>
      </c>
      <c r="D27" s="65">
        <v>0.75</v>
      </c>
      <c r="E27" s="66">
        <f t="shared" si="0"/>
        <v>0</v>
      </c>
    </row>
    <row r="28" spans="1:5">
      <c r="A28" s="36" t="s">
        <v>185</v>
      </c>
      <c r="B28" s="52" t="s">
        <v>186</v>
      </c>
      <c r="C28" s="38">
        <f>SUM(C29:C31)</f>
        <v>0</v>
      </c>
      <c r="D28" s="65">
        <v>1</v>
      </c>
      <c r="E28" s="66">
        <f t="shared" si="0"/>
        <v>0</v>
      </c>
    </row>
    <row r="29" spans="1:5">
      <c r="A29" s="67" t="s">
        <v>176</v>
      </c>
      <c r="B29" s="37"/>
      <c r="C29" s="43"/>
      <c r="D29" s="65">
        <v>1</v>
      </c>
      <c r="E29" s="66">
        <f t="shared" si="0"/>
        <v>0</v>
      </c>
    </row>
    <row r="30" spans="1:5">
      <c r="A30" s="67" t="s">
        <v>177</v>
      </c>
      <c r="B30" s="37"/>
      <c r="C30" s="43">
        <v>0</v>
      </c>
      <c r="D30" s="65">
        <v>1</v>
      </c>
      <c r="E30" s="66">
        <f t="shared" si="0"/>
        <v>0</v>
      </c>
    </row>
    <row r="31" spans="1:5">
      <c r="A31" s="67" t="s">
        <v>178</v>
      </c>
      <c r="B31" s="37"/>
      <c r="C31" s="43">
        <v>0</v>
      </c>
      <c r="D31" s="65">
        <v>1</v>
      </c>
      <c r="E31" s="66">
        <f t="shared" si="0"/>
        <v>0</v>
      </c>
    </row>
    <row r="32" spans="1:5">
      <c r="A32" s="36" t="s">
        <v>187</v>
      </c>
      <c r="B32" s="37"/>
      <c r="C32" s="64">
        <f>C12+C16+C20+C24+C28</f>
        <v>0</v>
      </c>
      <c r="D32" s="69"/>
      <c r="E32" s="64">
        <f>E12+E16+E20+E24+E28</f>
        <v>0</v>
      </c>
    </row>
    <row r="33" spans="1:5">
      <c r="A33" s="67" t="s">
        <v>188</v>
      </c>
      <c r="B33" s="37"/>
      <c r="C33" s="38"/>
      <c r="D33" s="37"/>
      <c r="E33" s="70">
        <f>E20+E24+E28</f>
        <v>0</v>
      </c>
    </row>
    <row r="34" spans="1:5">
      <c r="A34" s="67" t="s">
        <v>189</v>
      </c>
      <c r="B34" s="37"/>
      <c r="C34" s="38"/>
      <c r="D34" s="37"/>
      <c r="E34" s="70">
        <f>E12+E16</f>
        <v>0</v>
      </c>
    </row>
  </sheetData>
  <mergeCells count="2">
    <mergeCell ref="A8:E8"/>
    <mergeCell ref="A9:E9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23"/>
  <sheetViews>
    <sheetView tabSelected="1" zoomScale="80" zoomScaleNormal="80" zoomScalePageLayoutView="80" workbookViewId="0"/>
  </sheetViews>
  <sheetFormatPr baseColWidth="10" defaultColWidth="8.83203125" defaultRowHeight="15" x14ac:dyDescent="0"/>
  <cols>
    <col min="1" max="1" width="43.5" bestFit="1" customWidth="1"/>
    <col min="2" max="2" width="19" bestFit="1" customWidth="1"/>
    <col min="3" max="3" width="17.83203125" bestFit="1" customWidth="1"/>
    <col min="4" max="4" width="8.33203125" style="27" bestFit="1" customWidth="1"/>
    <col min="5" max="5" width="25.83203125" bestFit="1" customWidth="1"/>
  </cols>
  <sheetData>
    <row r="1" spans="1:5">
      <c r="A1" s="48" t="s">
        <v>190</v>
      </c>
      <c r="B1" s="39"/>
      <c r="C1" s="39"/>
      <c r="D1" s="30"/>
      <c r="E1" s="39"/>
    </row>
    <row r="2" spans="1:5">
      <c r="A2" s="39"/>
      <c r="B2" s="39"/>
      <c r="C2" s="39"/>
      <c r="D2" s="30"/>
      <c r="E2" s="39"/>
    </row>
    <row r="3" spans="1:5">
      <c r="A3" s="32" t="s">
        <v>30</v>
      </c>
      <c r="B3" s="49" t="str">
        <f>'SCHEDULE 3 ASSET QUALITY'!B3</f>
        <v>000595</v>
      </c>
      <c r="C3" s="39"/>
      <c r="D3" s="30"/>
      <c r="E3" s="39"/>
    </row>
    <row r="4" spans="1:5">
      <c r="A4" s="32" t="s">
        <v>32</v>
      </c>
      <c r="B4" s="49">
        <f>'SCHEDULE 3 ASSET QUALITY'!B4</f>
        <v>2014</v>
      </c>
      <c r="C4" s="39"/>
      <c r="D4" s="30"/>
      <c r="E4" s="39"/>
    </row>
    <row r="5" spans="1:5">
      <c r="A5" s="32" t="s">
        <v>33</v>
      </c>
      <c r="B5" s="50">
        <f>'SCHEDULE 3 ASSET QUALITY'!B5</f>
        <v>41583</v>
      </c>
      <c r="C5" s="39"/>
      <c r="D5" s="30"/>
      <c r="E5" s="39"/>
    </row>
    <row r="6" spans="1:5">
      <c r="A6" s="32" t="s">
        <v>34</v>
      </c>
      <c r="B6" s="50">
        <f>'SCHEDULE 3 ASSET QUALITY'!B6</f>
        <v>42004</v>
      </c>
      <c r="C6" s="39"/>
      <c r="D6" s="30"/>
      <c r="E6" s="39"/>
    </row>
    <row r="7" spans="1:5">
      <c r="A7" s="39"/>
      <c r="B7" s="39"/>
      <c r="C7" s="39"/>
      <c r="D7" s="30"/>
      <c r="E7" s="39"/>
    </row>
    <row r="8" spans="1:5">
      <c r="A8" s="95" t="s">
        <v>191</v>
      </c>
      <c r="B8" s="95"/>
      <c r="C8" s="95"/>
      <c r="D8" s="95"/>
      <c r="E8" s="95"/>
    </row>
    <row r="9" spans="1:5">
      <c r="A9" s="51" t="s">
        <v>192</v>
      </c>
      <c r="B9" s="56" t="s">
        <v>193</v>
      </c>
      <c r="C9" s="56" t="s">
        <v>194</v>
      </c>
      <c r="D9" s="40" t="s">
        <v>195</v>
      </c>
      <c r="E9" s="56" t="s">
        <v>196</v>
      </c>
    </row>
    <row r="10" spans="1:5">
      <c r="A10" s="36" t="s">
        <v>159</v>
      </c>
      <c r="B10" s="71">
        <f>SUM(B11:B23)</f>
        <v>0</v>
      </c>
      <c r="C10" s="71">
        <f>SUM(C11:C23)</f>
        <v>0</v>
      </c>
      <c r="D10" s="38">
        <f>SUM(D11:D23)</f>
        <v>0</v>
      </c>
      <c r="E10" s="65" t="e">
        <f>D10/D10</f>
        <v>#DIV/0!</v>
      </c>
    </row>
    <row r="11" spans="1:5">
      <c r="A11" s="36" t="s">
        <v>197</v>
      </c>
      <c r="B11" s="72">
        <v>0</v>
      </c>
      <c r="C11" s="72"/>
      <c r="D11" s="43"/>
      <c r="E11" s="65" t="e">
        <f t="shared" ref="E11:E23" si="0">D11/$D$10</f>
        <v>#DIV/0!</v>
      </c>
    </row>
    <row r="12" spans="1:5">
      <c r="A12" s="36" t="s">
        <v>198</v>
      </c>
      <c r="B12" s="72"/>
      <c r="C12" s="72"/>
      <c r="D12" s="43"/>
      <c r="E12" s="65" t="e">
        <f t="shared" si="0"/>
        <v>#DIV/0!</v>
      </c>
    </row>
    <row r="13" spans="1:5">
      <c r="A13" s="36" t="s">
        <v>199</v>
      </c>
      <c r="B13" s="72"/>
      <c r="C13" s="72"/>
      <c r="D13" s="43"/>
      <c r="E13" s="65" t="e">
        <f t="shared" si="0"/>
        <v>#DIV/0!</v>
      </c>
    </row>
    <row r="14" spans="1:5">
      <c r="A14" s="36" t="s">
        <v>200</v>
      </c>
      <c r="B14" s="72"/>
      <c r="C14" s="72"/>
      <c r="D14" s="43"/>
      <c r="E14" s="65" t="e">
        <f t="shared" si="0"/>
        <v>#DIV/0!</v>
      </c>
    </row>
    <row r="15" spans="1:5">
      <c r="A15" s="36" t="s">
        <v>201</v>
      </c>
      <c r="B15" s="72"/>
      <c r="C15" s="72"/>
      <c r="D15" s="43"/>
      <c r="E15" s="65" t="e">
        <f t="shared" si="0"/>
        <v>#DIV/0!</v>
      </c>
    </row>
    <row r="16" spans="1:5">
      <c r="A16" s="36" t="s">
        <v>202</v>
      </c>
      <c r="B16" s="72"/>
      <c r="C16" s="72"/>
      <c r="D16" s="43"/>
      <c r="E16" s="65" t="e">
        <f t="shared" si="0"/>
        <v>#DIV/0!</v>
      </c>
    </row>
    <row r="17" spans="1:5">
      <c r="A17" s="36" t="s">
        <v>203</v>
      </c>
      <c r="B17" s="72"/>
      <c r="C17" s="72"/>
      <c r="D17" s="43"/>
      <c r="E17" s="65" t="e">
        <f t="shared" si="0"/>
        <v>#DIV/0!</v>
      </c>
    </row>
    <row r="18" spans="1:5">
      <c r="A18" s="36" t="s">
        <v>204</v>
      </c>
      <c r="B18" s="72"/>
      <c r="C18" s="72"/>
      <c r="D18" s="43"/>
      <c r="E18" s="65" t="e">
        <f t="shared" si="0"/>
        <v>#DIV/0!</v>
      </c>
    </row>
    <row r="19" spans="1:5">
      <c r="A19" s="36" t="s">
        <v>205</v>
      </c>
      <c r="B19" s="72"/>
      <c r="C19" s="72"/>
      <c r="D19" s="43"/>
      <c r="E19" s="65" t="e">
        <f t="shared" si="0"/>
        <v>#DIV/0!</v>
      </c>
    </row>
    <row r="20" spans="1:5">
      <c r="A20" s="36" t="s">
        <v>206</v>
      </c>
      <c r="B20" s="72"/>
      <c r="C20" s="72"/>
      <c r="D20" s="43"/>
      <c r="E20" s="65" t="e">
        <f t="shared" si="0"/>
        <v>#DIV/0!</v>
      </c>
    </row>
    <row r="21" spans="1:5">
      <c r="A21" s="36" t="s">
        <v>207</v>
      </c>
      <c r="B21" s="72"/>
      <c r="C21" s="72"/>
      <c r="D21" s="43"/>
      <c r="E21" s="65" t="e">
        <f t="shared" si="0"/>
        <v>#DIV/0!</v>
      </c>
    </row>
    <row r="22" spans="1:5">
      <c r="A22" s="36" t="s">
        <v>208</v>
      </c>
      <c r="B22" s="72"/>
      <c r="C22" s="72"/>
      <c r="D22" s="43"/>
      <c r="E22" s="65" t="e">
        <f t="shared" si="0"/>
        <v>#DIV/0!</v>
      </c>
    </row>
    <row r="23" spans="1:5">
      <c r="A23" s="36" t="s">
        <v>209</v>
      </c>
      <c r="B23" s="72"/>
      <c r="C23" s="72"/>
      <c r="D23" s="43"/>
      <c r="E23" s="65" t="e">
        <f t="shared" si="0"/>
        <v>#DIV/0!</v>
      </c>
    </row>
  </sheetData>
  <mergeCells count="1">
    <mergeCell ref="A8:E8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23"/>
  <sheetViews>
    <sheetView zoomScale="80" zoomScaleNormal="80" zoomScalePageLayoutView="80" workbookViewId="0"/>
  </sheetViews>
  <sheetFormatPr baseColWidth="10" defaultColWidth="8.83203125" defaultRowHeight="15" x14ac:dyDescent="0"/>
  <cols>
    <col min="1" max="1" width="43.5" bestFit="1" customWidth="1"/>
    <col min="2" max="2" width="26" bestFit="1" customWidth="1"/>
    <col min="3" max="3" width="23.6640625" bestFit="1" customWidth="1"/>
    <col min="4" max="4" width="8.33203125" style="27" bestFit="1" customWidth="1"/>
    <col min="5" max="5" width="25.83203125" bestFit="1" customWidth="1"/>
  </cols>
  <sheetData>
    <row r="1" spans="1:5">
      <c r="A1" s="48" t="s">
        <v>190</v>
      </c>
      <c r="B1" s="39"/>
      <c r="D1"/>
    </row>
    <row r="2" spans="1:5">
      <c r="A2" s="39"/>
      <c r="B2" s="39"/>
      <c r="D2"/>
    </row>
    <row r="3" spans="1:5">
      <c r="A3" s="32" t="s">
        <v>30</v>
      </c>
      <c r="B3" s="49" t="str">
        <f>'SCHEDULE 4 DISTRIBUTION '!B3</f>
        <v>000595</v>
      </c>
      <c r="D3"/>
    </row>
    <row r="4" spans="1:5">
      <c r="A4" s="32" t="s">
        <v>32</v>
      </c>
      <c r="B4" s="49">
        <f>'SCHEDULE 4 DISTRIBUTION '!B4</f>
        <v>2014</v>
      </c>
      <c r="D4"/>
    </row>
    <row r="5" spans="1:5">
      <c r="A5" s="32" t="s">
        <v>33</v>
      </c>
      <c r="B5" s="50">
        <f>'SCHEDULE 4 DISTRIBUTION '!B5</f>
        <v>41583</v>
      </c>
      <c r="D5"/>
    </row>
    <row r="6" spans="1:5">
      <c r="A6" s="32" t="s">
        <v>34</v>
      </c>
      <c r="B6" s="50">
        <f>'SCHEDULE 4 DISTRIBUTION '!B6</f>
        <v>42004</v>
      </c>
      <c r="D6"/>
    </row>
    <row r="7" spans="1:5">
      <c r="D7"/>
    </row>
    <row r="8" spans="1:5">
      <c r="A8" s="95" t="s">
        <v>210</v>
      </c>
      <c r="B8" s="95"/>
      <c r="C8" s="95"/>
      <c r="D8" s="95"/>
      <c r="E8" s="95"/>
    </row>
    <row r="9" spans="1:5">
      <c r="A9" s="51" t="s">
        <v>192</v>
      </c>
      <c r="B9" s="56" t="s">
        <v>211</v>
      </c>
      <c r="C9" s="56" t="s">
        <v>212</v>
      </c>
      <c r="D9" s="40" t="s">
        <v>195</v>
      </c>
      <c r="E9" s="56" t="s">
        <v>196</v>
      </c>
    </row>
    <row r="10" spans="1:5">
      <c r="A10" s="36" t="s">
        <v>159</v>
      </c>
      <c r="B10" s="71">
        <f>SUM(B11:B23)</f>
        <v>0</v>
      </c>
      <c r="C10" s="71">
        <f>SUM(C11:C23)</f>
        <v>0</v>
      </c>
      <c r="D10" s="38">
        <f>SUM(D11:D23)</f>
        <v>0</v>
      </c>
      <c r="E10" s="65" t="e">
        <f>D10/D10</f>
        <v>#DIV/0!</v>
      </c>
    </row>
    <row r="11" spans="1:5">
      <c r="A11" s="36" t="s">
        <v>197</v>
      </c>
      <c r="B11" s="72"/>
      <c r="C11" s="72"/>
      <c r="D11" s="43"/>
      <c r="E11" s="65" t="e">
        <f t="shared" ref="E11:E23" si="0">D11/$D$10</f>
        <v>#DIV/0!</v>
      </c>
    </row>
    <row r="12" spans="1:5">
      <c r="A12" s="36" t="s">
        <v>198</v>
      </c>
      <c r="B12" s="72"/>
      <c r="C12" s="72"/>
      <c r="D12" s="43"/>
      <c r="E12" s="65" t="e">
        <f t="shared" si="0"/>
        <v>#DIV/0!</v>
      </c>
    </row>
    <row r="13" spans="1:5">
      <c r="A13" s="36" t="s">
        <v>199</v>
      </c>
      <c r="B13" s="72"/>
      <c r="C13" s="72"/>
      <c r="D13" s="43"/>
      <c r="E13" s="65" t="e">
        <f t="shared" si="0"/>
        <v>#DIV/0!</v>
      </c>
    </row>
    <row r="14" spans="1:5">
      <c r="A14" s="36" t="s">
        <v>200</v>
      </c>
      <c r="B14" s="72"/>
      <c r="C14" s="72"/>
      <c r="D14" s="43"/>
      <c r="E14" s="65" t="e">
        <f t="shared" si="0"/>
        <v>#DIV/0!</v>
      </c>
    </row>
    <row r="15" spans="1:5">
      <c r="A15" s="36" t="s">
        <v>201</v>
      </c>
      <c r="B15" s="72"/>
      <c r="C15" s="72"/>
      <c r="D15" s="43"/>
      <c r="E15" s="65" t="e">
        <f t="shared" si="0"/>
        <v>#DIV/0!</v>
      </c>
    </row>
    <row r="16" spans="1:5">
      <c r="A16" s="36" t="s">
        <v>202</v>
      </c>
      <c r="B16" s="72"/>
      <c r="C16" s="72"/>
      <c r="D16" s="43"/>
      <c r="E16" s="65" t="e">
        <f t="shared" si="0"/>
        <v>#DIV/0!</v>
      </c>
    </row>
    <row r="17" spans="1:5">
      <c r="A17" s="36" t="s">
        <v>203</v>
      </c>
      <c r="B17" s="72"/>
      <c r="C17" s="72"/>
      <c r="D17" s="43"/>
      <c r="E17" s="65" t="e">
        <f t="shared" si="0"/>
        <v>#DIV/0!</v>
      </c>
    </row>
    <row r="18" spans="1:5">
      <c r="A18" s="36" t="s">
        <v>204</v>
      </c>
      <c r="B18" s="72"/>
      <c r="C18" s="72"/>
      <c r="D18" s="43"/>
      <c r="E18" s="65" t="e">
        <f t="shared" si="0"/>
        <v>#DIV/0!</v>
      </c>
    </row>
    <row r="19" spans="1:5">
      <c r="A19" s="36" t="s">
        <v>205</v>
      </c>
      <c r="B19" s="72"/>
      <c r="C19" s="72"/>
      <c r="D19" s="43"/>
      <c r="E19" s="65" t="e">
        <f t="shared" si="0"/>
        <v>#DIV/0!</v>
      </c>
    </row>
    <row r="20" spans="1:5">
      <c r="A20" s="36" t="s">
        <v>206</v>
      </c>
      <c r="B20" s="72"/>
      <c r="C20" s="72"/>
      <c r="D20" s="43"/>
      <c r="E20" s="65" t="e">
        <f t="shared" si="0"/>
        <v>#DIV/0!</v>
      </c>
    </row>
    <row r="21" spans="1:5">
      <c r="A21" s="36" t="s">
        <v>213</v>
      </c>
      <c r="B21" s="72"/>
      <c r="C21" s="72"/>
      <c r="D21" s="43"/>
      <c r="E21" s="65" t="e">
        <f t="shared" si="0"/>
        <v>#DIV/0!</v>
      </c>
    </row>
    <row r="22" spans="1:5">
      <c r="A22" s="36" t="s">
        <v>208</v>
      </c>
      <c r="B22" s="72"/>
      <c r="C22" s="72"/>
      <c r="D22" s="43"/>
      <c r="E22" s="65" t="e">
        <f t="shared" si="0"/>
        <v>#DIV/0!</v>
      </c>
    </row>
    <row r="23" spans="1:5">
      <c r="A23" s="36" t="s">
        <v>209</v>
      </c>
      <c r="B23" s="72"/>
      <c r="C23" s="72"/>
      <c r="D23" s="43"/>
      <c r="E23" s="65" t="e">
        <f t="shared" si="0"/>
        <v>#DIV/0!</v>
      </c>
    </row>
  </sheetData>
  <mergeCells count="1">
    <mergeCell ref="A8:E8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28"/>
  <sheetViews>
    <sheetView zoomScale="80" zoomScaleNormal="80" zoomScalePageLayoutView="80" workbookViewId="0"/>
  </sheetViews>
  <sheetFormatPr baseColWidth="10" defaultColWidth="8.83203125" defaultRowHeight="15" x14ac:dyDescent="0"/>
  <cols>
    <col min="1" max="1" width="25.83203125" bestFit="1" customWidth="1"/>
    <col min="2" max="2" width="14.1640625" bestFit="1" customWidth="1"/>
    <col min="3" max="3" width="33.6640625" bestFit="1" customWidth="1"/>
    <col min="4" max="4" width="11.83203125" bestFit="1" customWidth="1"/>
    <col min="5" max="5" width="18.33203125" bestFit="1" customWidth="1"/>
  </cols>
  <sheetData>
    <row r="1" spans="1:5">
      <c r="A1" s="48" t="s">
        <v>214</v>
      </c>
      <c r="B1" s="39"/>
      <c r="C1" s="39"/>
      <c r="D1" s="39"/>
      <c r="E1" s="39"/>
    </row>
    <row r="2" spans="1:5">
      <c r="A2" s="39"/>
      <c r="B2" s="39"/>
      <c r="C2" s="39"/>
      <c r="D2" s="39"/>
      <c r="E2" s="39"/>
    </row>
    <row r="3" spans="1:5">
      <c r="A3" s="32" t="s">
        <v>30</v>
      </c>
      <c r="B3" s="49" t="str">
        <f>'SCHEDULE 5 GENDER DISTRIBUTION '!B3</f>
        <v>000595</v>
      </c>
      <c r="C3" s="39"/>
      <c r="D3" s="39"/>
      <c r="E3" s="39"/>
    </row>
    <row r="4" spans="1:5">
      <c r="A4" s="32" t="s">
        <v>32</v>
      </c>
      <c r="B4" s="49">
        <f>'SCHEDULE 5 GENDER DISTRIBUTION '!B4</f>
        <v>2014</v>
      </c>
      <c r="C4" s="39"/>
      <c r="D4" s="39"/>
      <c r="E4" s="39"/>
    </row>
    <row r="5" spans="1:5">
      <c r="A5" s="32" t="s">
        <v>33</v>
      </c>
      <c r="B5" s="50">
        <f>'SCHEDULE 5 GENDER DISTRIBUTION '!B5</f>
        <v>41583</v>
      </c>
      <c r="C5" s="39"/>
      <c r="D5" s="39"/>
      <c r="E5" s="39"/>
    </row>
    <row r="6" spans="1:5">
      <c r="A6" s="32" t="s">
        <v>34</v>
      </c>
      <c r="B6" s="50">
        <f>'SCHEDULE 5 GENDER DISTRIBUTION '!B6</f>
        <v>42004</v>
      </c>
      <c r="C6" s="39"/>
      <c r="D6" s="39"/>
      <c r="E6" s="39"/>
    </row>
    <row r="7" spans="1:5">
      <c r="A7" s="39"/>
      <c r="B7" s="39"/>
      <c r="C7" s="39"/>
      <c r="D7" s="39"/>
      <c r="E7" s="39"/>
    </row>
    <row r="8" spans="1:5">
      <c r="A8" s="95" t="s">
        <v>215</v>
      </c>
      <c r="B8" s="95"/>
      <c r="C8" s="95"/>
      <c r="D8" s="95"/>
      <c r="E8" s="95"/>
    </row>
    <row r="9" spans="1:5">
      <c r="A9" s="37"/>
      <c r="B9" s="37"/>
      <c r="C9" s="37"/>
      <c r="D9" s="37"/>
      <c r="E9" s="37"/>
    </row>
    <row r="10" spans="1:5" s="57" customFormat="1">
      <c r="A10" s="56"/>
      <c r="B10" s="56" t="s">
        <v>216</v>
      </c>
      <c r="C10" s="56" t="s">
        <v>217</v>
      </c>
      <c r="D10" s="56" t="s">
        <v>218</v>
      </c>
      <c r="E10" s="56" t="s">
        <v>219</v>
      </c>
    </row>
    <row r="11" spans="1:5">
      <c r="A11" s="37" t="s">
        <v>220</v>
      </c>
      <c r="B11" s="73">
        <f>SUM(B12:B19)</f>
        <v>0</v>
      </c>
      <c r="C11" s="73">
        <f>SUM(C12:C19)</f>
        <v>0</v>
      </c>
      <c r="D11" s="74">
        <f t="shared" ref="D11:D19" si="0">B11-C11</f>
        <v>0</v>
      </c>
      <c r="E11" s="74">
        <f>D11</f>
        <v>0</v>
      </c>
    </row>
    <row r="12" spans="1:5">
      <c r="A12" s="37" t="s">
        <v>221</v>
      </c>
      <c r="B12" s="75"/>
      <c r="C12" s="75"/>
      <c r="D12" s="74">
        <f t="shared" si="0"/>
        <v>0</v>
      </c>
      <c r="E12" s="74">
        <f>D12</f>
        <v>0</v>
      </c>
    </row>
    <row r="13" spans="1:5">
      <c r="A13" s="37" t="s">
        <v>222</v>
      </c>
      <c r="B13" s="75"/>
      <c r="C13" s="75"/>
      <c r="D13" s="74">
        <f t="shared" si="0"/>
        <v>0</v>
      </c>
      <c r="E13" s="74">
        <f t="shared" ref="E13:E19" si="1">E12+D13</f>
        <v>0</v>
      </c>
    </row>
    <row r="14" spans="1:5">
      <c r="A14" s="37" t="s">
        <v>223</v>
      </c>
      <c r="B14" s="75"/>
      <c r="C14" s="75"/>
      <c r="D14" s="74">
        <f t="shared" si="0"/>
        <v>0</v>
      </c>
      <c r="E14" s="74">
        <f t="shared" si="1"/>
        <v>0</v>
      </c>
    </row>
    <row r="15" spans="1:5">
      <c r="A15" s="37" t="s">
        <v>224</v>
      </c>
      <c r="B15" s="75"/>
      <c r="C15" s="75"/>
      <c r="D15" s="74">
        <f t="shared" si="0"/>
        <v>0</v>
      </c>
      <c r="E15" s="74">
        <f t="shared" si="1"/>
        <v>0</v>
      </c>
    </row>
    <row r="16" spans="1:5">
      <c r="A16" s="37" t="s">
        <v>225</v>
      </c>
      <c r="B16" s="75"/>
      <c r="C16" s="75"/>
      <c r="D16" s="74">
        <f t="shared" si="0"/>
        <v>0</v>
      </c>
      <c r="E16" s="74">
        <f t="shared" si="1"/>
        <v>0</v>
      </c>
    </row>
    <row r="17" spans="1:5">
      <c r="A17" s="37" t="s">
        <v>226</v>
      </c>
      <c r="B17" s="75"/>
      <c r="C17" s="75"/>
      <c r="D17" s="74">
        <f t="shared" si="0"/>
        <v>0</v>
      </c>
      <c r="E17" s="74">
        <f t="shared" si="1"/>
        <v>0</v>
      </c>
    </row>
    <row r="18" spans="1:5">
      <c r="A18" s="37" t="s">
        <v>227</v>
      </c>
      <c r="B18" s="43">
        <v>0</v>
      </c>
      <c r="C18" s="43">
        <v>0</v>
      </c>
      <c r="D18" s="74">
        <f t="shared" si="0"/>
        <v>0</v>
      </c>
      <c r="E18" s="74">
        <f t="shared" si="1"/>
        <v>0</v>
      </c>
    </row>
    <row r="19" spans="1:5">
      <c r="A19" s="37" t="s">
        <v>228</v>
      </c>
      <c r="B19" s="43">
        <v>0</v>
      </c>
      <c r="C19" s="43">
        <v>0</v>
      </c>
      <c r="D19" s="74">
        <f t="shared" si="0"/>
        <v>0</v>
      </c>
      <c r="E19" s="74">
        <f t="shared" si="1"/>
        <v>0</v>
      </c>
    </row>
    <row r="21" spans="1:5">
      <c r="A21" s="76" t="s">
        <v>229</v>
      </c>
      <c r="B21" s="77"/>
    </row>
    <row r="22" spans="1:5">
      <c r="A22" s="37" t="s">
        <v>222</v>
      </c>
      <c r="B22" s="77"/>
    </row>
    <row r="23" spans="1:5">
      <c r="A23" s="37" t="s">
        <v>223</v>
      </c>
      <c r="B23" s="77"/>
    </row>
    <row r="24" spans="1:5">
      <c r="A24" s="37" t="s">
        <v>224</v>
      </c>
      <c r="B24" s="77"/>
    </row>
    <row r="25" spans="1:5">
      <c r="A25" s="37" t="s">
        <v>225</v>
      </c>
      <c r="B25" s="77"/>
    </row>
    <row r="26" spans="1:5">
      <c r="A26" s="37" t="s">
        <v>226</v>
      </c>
    </row>
    <row r="27" spans="1:5">
      <c r="A27" s="37" t="s">
        <v>227</v>
      </c>
    </row>
    <row r="28" spans="1:5">
      <c r="A28" s="37" t="s">
        <v>228</v>
      </c>
    </row>
  </sheetData>
  <mergeCells count="1">
    <mergeCell ref="A8:E8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34"/>
  <sheetViews>
    <sheetView zoomScale="80" zoomScaleNormal="80" zoomScalePageLayoutView="80" workbookViewId="0"/>
  </sheetViews>
  <sheetFormatPr baseColWidth="10" defaultColWidth="8.83203125" defaultRowHeight="15" x14ac:dyDescent="0"/>
  <cols>
    <col min="1" max="1" width="26.5" style="78" bestFit="1" customWidth="1"/>
    <col min="2" max="2" width="25.83203125" bestFit="1" customWidth="1"/>
    <col min="3" max="3" width="22.33203125" bestFit="1" customWidth="1"/>
    <col min="4" max="4" width="15.33203125" bestFit="1" customWidth="1"/>
    <col min="5" max="5" width="16.6640625" bestFit="1" customWidth="1"/>
    <col min="6" max="6" width="18.33203125" bestFit="1" customWidth="1"/>
  </cols>
  <sheetData>
    <row r="1" spans="1:6">
      <c r="A1" s="48" t="s">
        <v>230</v>
      </c>
      <c r="B1" s="39"/>
      <c r="C1" s="39"/>
      <c r="D1" s="39"/>
      <c r="E1" s="39"/>
      <c r="F1" s="39"/>
    </row>
    <row r="2" spans="1:6">
      <c r="A2" s="39"/>
      <c r="B2" s="39"/>
      <c r="C2" s="39"/>
      <c r="D2" s="39"/>
      <c r="E2" s="39"/>
      <c r="F2" s="39"/>
    </row>
    <row r="3" spans="1:6">
      <c r="A3" s="32" t="s">
        <v>30</v>
      </c>
      <c r="B3" s="49" t="str">
        <f>'SCHEDULE 6 MATURITY PROF'!B3</f>
        <v>000595</v>
      </c>
      <c r="C3" s="39"/>
      <c r="D3" s="39"/>
      <c r="E3" s="39"/>
      <c r="F3" s="39"/>
    </row>
    <row r="4" spans="1:6">
      <c r="A4" s="32" t="s">
        <v>32</v>
      </c>
      <c r="B4" s="49">
        <f>'SCHEDULE 6 MATURITY PROF'!B4</f>
        <v>2014</v>
      </c>
      <c r="C4" s="39"/>
      <c r="D4" s="39"/>
      <c r="E4" s="39"/>
      <c r="F4" s="39"/>
    </row>
    <row r="5" spans="1:6">
      <c r="A5" s="32" t="s">
        <v>33</v>
      </c>
      <c r="B5" s="50">
        <f>'SCHEDULE 6 MATURITY PROF'!B5</f>
        <v>41583</v>
      </c>
      <c r="C5" s="39"/>
      <c r="D5" s="39"/>
      <c r="E5" s="39"/>
      <c r="F5" s="39"/>
    </row>
    <row r="6" spans="1:6">
      <c r="A6" s="32" t="s">
        <v>34</v>
      </c>
      <c r="B6" s="50">
        <f>'SCHEDULE 6 MATURITY PROF'!B6</f>
        <v>42004</v>
      </c>
      <c r="C6" s="39"/>
      <c r="D6" s="39"/>
      <c r="E6" s="39"/>
      <c r="F6" s="39"/>
    </row>
    <row r="7" spans="1:6">
      <c r="A7" s="39"/>
      <c r="B7" s="39"/>
      <c r="C7" s="39"/>
      <c r="D7" s="39"/>
      <c r="E7" s="39"/>
      <c r="F7" s="39"/>
    </row>
    <row r="8" spans="1:6">
      <c r="A8" s="95" t="s">
        <v>231</v>
      </c>
      <c r="B8" s="95"/>
      <c r="C8" s="95"/>
      <c r="D8" s="95"/>
      <c r="E8" s="95"/>
      <c r="F8" s="95"/>
    </row>
    <row r="9" spans="1:6">
      <c r="A9" s="51" t="s">
        <v>232</v>
      </c>
      <c r="B9" s="56" t="s">
        <v>233</v>
      </c>
      <c r="C9" s="56" t="s">
        <v>234</v>
      </c>
      <c r="D9" s="56" t="s">
        <v>235</v>
      </c>
      <c r="E9" s="56" t="s">
        <v>236</v>
      </c>
      <c r="F9" s="56" t="s">
        <v>237</v>
      </c>
    </row>
    <row r="10" spans="1:6">
      <c r="A10" s="51" t="s">
        <v>159</v>
      </c>
      <c r="B10" s="37"/>
      <c r="C10" s="37"/>
      <c r="D10" s="37"/>
      <c r="E10" s="37"/>
      <c r="F10" s="37"/>
    </row>
    <row r="11" spans="1:6">
      <c r="A11" s="61"/>
      <c r="B11" s="75"/>
      <c r="C11" s="75"/>
      <c r="D11" s="79"/>
      <c r="E11" s="61"/>
      <c r="F11" s="75"/>
    </row>
    <row r="12" spans="1:6">
      <c r="A12" s="61"/>
      <c r="B12" s="75"/>
      <c r="C12" s="80"/>
      <c r="D12" s="79"/>
      <c r="E12" s="61"/>
      <c r="F12" s="75"/>
    </row>
    <row r="13" spans="1:6">
      <c r="A13" s="61"/>
      <c r="B13" s="75"/>
      <c r="C13" s="75"/>
      <c r="D13" s="79"/>
      <c r="E13" s="61"/>
      <c r="F13" s="75"/>
    </row>
    <row r="14" spans="1:6">
      <c r="A14" s="61"/>
      <c r="B14" s="75"/>
      <c r="C14" s="75"/>
      <c r="D14" s="79"/>
      <c r="E14" s="61"/>
      <c r="F14" s="75"/>
    </row>
    <row r="15" spans="1:6">
      <c r="A15" s="61"/>
      <c r="B15" s="75"/>
      <c r="C15" s="75"/>
      <c r="D15" s="79"/>
      <c r="E15" s="61"/>
      <c r="F15" s="75"/>
    </row>
    <row r="16" spans="1:6">
      <c r="A16" s="61"/>
      <c r="B16" s="75"/>
      <c r="C16" s="75"/>
      <c r="D16" s="79"/>
      <c r="E16" s="61"/>
      <c r="F16" s="75"/>
    </row>
    <row r="17" spans="1:6">
      <c r="A17" s="61"/>
      <c r="B17" s="75"/>
      <c r="C17" s="75"/>
      <c r="D17" s="79"/>
      <c r="E17" s="61"/>
      <c r="F17" s="75"/>
    </row>
    <row r="18" spans="1:6">
      <c r="A18" s="61"/>
      <c r="B18" s="75"/>
      <c r="C18" s="75"/>
      <c r="D18" s="79"/>
      <c r="E18" s="61"/>
      <c r="F18" s="75"/>
    </row>
    <row r="19" spans="1:6">
      <c r="A19" s="61"/>
      <c r="B19" s="75"/>
      <c r="C19" s="75"/>
      <c r="D19" s="79"/>
      <c r="E19" s="61"/>
      <c r="F19" s="75"/>
    </row>
    <row r="20" spans="1:6">
      <c r="A20" s="61"/>
      <c r="B20" s="75"/>
      <c r="C20" s="75"/>
      <c r="D20" s="79"/>
      <c r="E20" s="61"/>
      <c r="F20" s="75"/>
    </row>
    <row r="21" spans="1:6">
      <c r="A21" s="61"/>
      <c r="B21" s="75"/>
      <c r="C21" s="75"/>
      <c r="D21" s="79"/>
      <c r="E21" s="61"/>
      <c r="F21" s="75"/>
    </row>
    <row r="22" spans="1:6">
      <c r="A22" s="61"/>
      <c r="B22" s="75"/>
      <c r="C22" s="75"/>
      <c r="D22" s="79"/>
      <c r="E22" s="61"/>
      <c r="F22" s="75"/>
    </row>
    <row r="23" spans="1:6">
      <c r="A23" s="61"/>
      <c r="B23" s="75"/>
      <c r="C23" s="75"/>
      <c r="D23" s="79"/>
      <c r="E23" s="61"/>
      <c r="F23" s="75"/>
    </row>
    <row r="24" spans="1:6">
      <c r="A24" s="61"/>
      <c r="B24" s="75"/>
      <c r="C24" s="75"/>
      <c r="D24" s="79"/>
      <c r="E24" s="61"/>
      <c r="F24" s="75"/>
    </row>
    <row r="25" spans="1:6">
      <c r="A25" s="61"/>
      <c r="B25" s="75"/>
      <c r="C25" s="75"/>
      <c r="D25" s="79"/>
      <c r="E25" s="61"/>
      <c r="F25" s="75"/>
    </row>
    <row r="26" spans="1:6">
      <c r="A26" s="61"/>
      <c r="B26" s="75"/>
      <c r="C26" s="75"/>
      <c r="D26" s="79"/>
      <c r="E26" s="61"/>
      <c r="F26" s="75"/>
    </row>
    <row r="27" spans="1:6">
      <c r="A27" s="61"/>
      <c r="B27" s="75"/>
      <c r="C27" s="75"/>
      <c r="D27" s="79"/>
      <c r="E27" s="61"/>
      <c r="F27" s="75"/>
    </row>
    <row r="28" spans="1:6">
      <c r="A28" s="61"/>
      <c r="B28" s="75"/>
      <c r="C28" s="75"/>
      <c r="D28" s="79"/>
      <c r="E28" s="61"/>
      <c r="F28" s="75"/>
    </row>
    <row r="29" spans="1:6">
      <c r="A29" s="61"/>
      <c r="B29" s="75"/>
      <c r="C29" s="75"/>
      <c r="D29" s="79"/>
      <c r="E29" s="61"/>
      <c r="F29" s="75"/>
    </row>
    <row r="30" spans="1:6">
      <c r="A30" s="61"/>
      <c r="B30" s="75"/>
      <c r="C30" s="75"/>
      <c r="D30" s="79"/>
      <c r="E30" s="61"/>
      <c r="F30" s="75"/>
    </row>
    <row r="31" spans="1:6">
      <c r="A31" s="61"/>
      <c r="B31" s="58"/>
      <c r="C31" s="58"/>
      <c r="D31" s="58"/>
      <c r="E31" s="58"/>
      <c r="F31" s="58"/>
    </row>
    <row r="32" spans="1:6">
      <c r="A32" s="61"/>
      <c r="B32" s="58"/>
      <c r="C32" s="58"/>
      <c r="D32" s="58"/>
      <c r="E32" s="58"/>
      <c r="F32" s="58"/>
    </row>
    <row r="33" spans="1:6">
      <c r="A33" s="61"/>
      <c r="B33" s="58"/>
      <c r="C33" s="58"/>
      <c r="D33" s="58"/>
      <c r="E33" s="58"/>
      <c r="F33" s="58"/>
    </row>
    <row r="34" spans="1:6">
      <c r="A34" s="61"/>
      <c r="B34" s="58"/>
      <c r="C34" s="58"/>
      <c r="D34" s="58"/>
      <c r="E34" s="58"/>
      <c r="F34" s="58"/>
    </row>
  </sheetData>
  <mergeCells count="1">
    <mergeCell ref="A8:F8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52"/>
  <sheetViews>
    <sheetView topLeftCell="A7" zoomScale="80" zoomScaleNormal="80" zoomScalePageLayoutView="80" workbookViewId="0">
      <selection activeCell="A7" sqref="A7"/>
    </sheetView>
  </sheetViews>
  <sheetFormatPr baseColWidth="10" defaultColWidth="8.83203125" defaultRowHeight="15" x14ac:dyDescent="0"/>
  <cols>
    <col min="1" max="1" width="70.33203125" bestFit="1" customWidth="1"/>
    <col min="2" max="2" width="10" bestFit="1" customWidth="1"/>
    <col min="3" max="3" width="16.5" bestFit="1" customWidth="1"/>
    <col min="4" max="4" width="8.83203125" style="78"/>
    <col min="5" max="5" width="8.83203125" style="81"/>
  </cols>
  <sheetData>
    <row r="1" spans="1:5">
      <c r="A1" s="48" t="s">
        <v>238</v>
      </c>
      <c r="B1" s="39"/>
      <c r="C1" s="39"/>
      <c r="D1"/>
      <c r="E1"/>
    </row>
    <row r="2" spans="1:5">
      <c r="A2" s="39"/>
      <c r="B2" s="39"/>
      <c r="C2" s="39"/>
      <c r="D2"/>
      <c r="E2"/>
    </row>
    <row r="3" spans="1:5">
      <c r="A3" s="32" t="s">
        <v>30</v>
      </c>
      <c r="B3" s="49" t="s">
        <v>31</v>
      </c>
      <c r="C3" s="39"/>
      <c r="D3"/>
      <c r="E3"/>
    </row>
    <row r="4" spans="1:5">
      <c r="A4" s="48" t="s">
        <v>238</v>
      </c>
      <c r="B4" s="39"/>
      <c r="C4" s="39"/>
    </row>
    <row r="5" spans="1:5">
      <c r="A5" s="32"/>
      <c r="B5" s="39"/>
      <c r="C5" s="39"/>
    </row>
    <row r="6" spans="1:5">
      <c r="A6" s="32" t="s">
        <v>30</v>
      </c>
      <c r="B6" s="49" t="s">
        <v>31</v>
      </c>
      <c r="C6" s="39"/>
      <c r="E6"/>
    </row>
    <row r="7" spans="1:5">
      <c r="A7" s="32" t="s">
        <v>32</v>
      </c>
      <c r="B7" s="49">
        <f>'SCHEDULE 7 TOP 20 BORROW  '!B4</f>
        <v>2014</v>
      </c>
      <c r="C7" s="39"/>
      <c r="D7"/>
      <c r="E7"/>
    </row>
    <row r="8" spans="1:5">
      <c r="A8" s="32" t="s">
        <v>33</v>
      </c>
      <c r="B8" s="50">
        <f>'SCHEDULE 7 TOP 20 BORROW  '!B5</f>
        <v>41583</v>
      </c>
      <c r="C8" s="39"/>
      <c r="D8"/>
      <c r="E8"/>
    </row>
    <row r="9" spans="1:5">
      <c r="A9" s="32" t="s">
        <v>34</v>
      </c>
      <c r="B9" s="50">
        <f>'SCHEDULE 7 TOP 20 BORROW  '!B6</f>
        <v>42004</v>
      </c>
      <c r="C9" s="39"/>
      <c r="D9"/>
      <c r="E9"/>
    </row>
    <row r="10" spans="1:5">
      <c r="A10" s="39"/>
      <c r="B10" s="39"/>
      <c r="C10" s="39"/>
      <c r="D10"/>
      <c r="E10"/>
    </row>
    <row r="11" spans="1:5">
      <c r="A11" s="95" t="s">
        <v>239</v>
      </c>
      <c r="B11" s="95"/>
      <c r="C11" s="95"/>
      <c r="D11"/>
      <c r="E11"/>
    </row>
    <row r="12" spans="1:5">
      <c r="A12" s="96"/>
      <c r="B12" s="96"/>
      <c r="C12" s="96"/>
      <c r="D12"/>
      <c r="E12"/>
    </row>
    <row r="13" spans="1:5">
      <c r="A13" s="36" t="s">
        <v>240</v>
      </c>
      <c r="B13" s="37"/>
      <c r="C13" s="56" t="s">
        <v>241</v>
      </c>
      <c r="D13"/>
      <c r="E13" s="82"/>
    </row>
    <row r="14" spans="1:5">
      <c r="A14" s="39" t="s">
        <v>242</v>
      </c>
      <c r="B14" s="58"/>
      <c r="C14" s="72"/>
      <c r="D14"/>
    </row>
    <row r="15" spans="1:5">
      <c r="A15" s="83" t="s">
        <v>243</v>
      </c>
      <c r="B15" s="58"/>
      <c r="C15" s="75"/>
      <c r="D15"/>
    </row>
    <row r="16" spans="1:5">
      <c r="A16" s="39" t="s">
        <v>244</v>
      </c>
      <c r="B16" s="58"/>
      <c r="C16" s="58"/>
      <c r="D16"/>
    </row>
    <row r="17" spans="1:4">
      <c r="A17" s="83" t="s">
        <v>245</v>
      </c>
      <c r="B17" s="58"/>
      <c r="C17" s="58"/>
    </row>
    <row r="18" spans="1:4">
      <c r="A18" s="39" t="s">
        <v>246</v>
      </c>
      <c r="B18" s="58"/>
      <c r="C18" s="58"/>
      <c r="D18"/>
    </row>
    <row r="19" spans="1:4">
      <c r="A19" s="83" t="s">
        <v>247</v>
      </c>
      <c r="B19" s="58"/>
      <c r="C19" s="58"/>
    </row>
    <row r="20" spans="1:4">
      <c r="A20" s="39" t="s">
        <v>248</v>
      </c>
      <c r="B20" s="37"/>
      <c r="C20" s="65" t="e">
        <f>(C19-C18)/C18</f>
        <v>#DIV/0!</v>
      </c>
    </row>
    <row r="21" spans="1:4">
      <c r="A21" s="83" t="s">
        <v>249</v>
      </c>
      <c r="B21" s="58"/>
      <c r="C21" s="58"/>
    </row>
    <row r="22" spans="1:4">
      <c r="A22" s="39" t="s">
        <v>250</v>
      </c>
      <c r="B22" s="58"/>
      <c r="C22" s="58"/>
      <c r="D22"/>
    </row>
    <row r="23" spans="1:4">
      <c r="A23" s="83" t="s">
        <v>251</v>
      </c>
      <c r="B23" s="58"/>
      <c r="C23" s="58"/>
      <c r="D23"/>
    </row>
    <row r="24" spans="1:4">
      <c r="A24" s="41" t="s">
        <v>252</v>
      </c>
      <c r="B24" s="37"/>
      <c r="C24" s="37"/>
      <c r="D24"/>
    </row>
    <row r="25" spans="1:4">
      <c r="A25" s="83" t="s">
        <v>253</v>
      </c>
      <c r="B25" s="58"/>
      <c r="C25" s="58"/>
      <c r="D25"/>
    </row>
    <row r="26" spans="1:4">
      <c r="A26" s="42" t="s">
        <v>254</v>
      </c>
      <c r="B26" s="58"/>
      <c r="C26" s="58"/>
      <c r="D26"/>
    </row>
    <row r="27" spans="1:4">
      <c r="A27" s="84" t="s">
        <v>255</v>
      </c>
      <c r="B27" s="58"/>
      <c r="C27" s="58"/>
      <c r="D27"/>
    </row>
    <row r="28" spans="1:4">
      <c r="A28" s="39" t="s">
        <v>256</v>
      </c>
      <c r="B28" s="58"/>
      <c r="C28" s="58"/>
      <c r="D28"/>
    </row>
    <row r="29" spans="1:4">
      <c r="A29" s="83" t="s">
        <v>257</v>
      </c>
      <c r="B29" s="58"/>
      <c r="C29" s="58"/>
      <c r="D29"/>
    </row>
    <row r="30" spans="1:4">
      <c r="A30" s="39" t="s">
        <v>258</v>
      </c>
      <c r="B30" s="58"/>
      <c r="C30" s="58"/>
      <c r="D30"/>
    </row>
    <row r="31" spans="1:4">
      <c r="A31" s="83" t="s">
        <v>259</v>
      </c>
      <c r="B31" s="58"/>
      <c r="C31" s="58"/>
    </row>
    <row r="32" spans="1:4">
      <c r="A32" s="39" t="s">
        <v>260</v>
      </c>
      <c r="B32" s="58"/>
      <c r="C32" s="58"/>
      <c r="D32"/>
    </row>
    <row r="33" spans="1:4">
      <c r="A33" s="83" t="s">
        <v>261</v>
      </c>
      <c r="B33" s="58"/>
      <c r="C33" s="85"/>
    </row>
    <row r="34" spans="1:4">
      <c r="A34" s="41" t="s">
        <v>262</v>
      </c>
      <c r="B34" s="37"/>
      <c r="C34" s="37"/>
      <c r="D34"/>
    </row>
    <row r="35" spans="1:4">
      <c r="A35" s="83" t="s">
        <v>263</v>
      </c>
      <c r="B35" s="58"/>
      <c r="C35" s="58"/>
      <c r="D35"/>
    </row>
    <row r="36" spans="1:4">
      <c r="A36" s="39" t="s">
        <v>264</v>
      </c>
      <c r="B36" s="58"/>
      <c r="C36" s="75"/>
      <c r="D36"/>
    </row>
    <row r="37" spans="1:4">
      <c r="A37" s="83" t="s">
        <v>265</v>
      </c>
      <c r="B37" s="58"/>
      <c r="C37" s="58"/>
      <c r="D37"/>
    </row>
    <row r="38" spans="1:4">
      <c r="A38" s="39" t="s">
        <v>266</v>
      </c>
      <c r="B38" s="58"/>
      <c r="C38" s="75"/>
      <c r="D38"/>
    </row>
    <row r="39" spans="1:4">
      <c r="A39" s="83" t="s">
        <v>267</v>
      </c>
      <c r="B39" s="58"/>
      <c r="C39" s="58"/>
      <c r="D39"/>
    </row>
    <row r="40" spans="1:4">
      <c r="A40" s="39" t="s">
        <v>268</v>
      </c>
      <c r="B40" s="58"/>
      <c r="C40" s="75"/>
      <c r="D40"/>
    </row>
    <row r="41" spans="1:4">
      <c r="A41" s="83" t="s">
        <v>269</v>
      </c>
      <c r="B41" s="58"/>
      <c r="C41" s="58"/>
      <c r="D41"/>
    </row>
    <row r="42" spans="1:4">
      <c r="A42" s="39" t="s">
        <v>270</v>
      </c>
      <c r="B42" s="58"/>
      <c r="C42" s="75"/>
      <c r="D42"/>
    </row>
    <row r="43" spans="1:4">
      <c r="A43" s="83" t="s">
        <v>271</v>
      </c>
      <c r="B43" s="58"/>
      <c r="C43" s="75"/>
    </row>
    <row r="44" spans="1:4">
      <c r="A44" s="39" t="s">
        <v>272</v>
      </c>
      <c r="B44" s="58"/>
      <c r="C44" s="75"/>
    </row>
    <row r="45" spans="1:4">
      <c r="A45" s="83" t="s">
        <v>273</v>
      </c>
      <c r="B45" s="65" t="e">
        <f>C43/C44</f>
        <v>#DIV/0!</v>
      </c>
      <c r="C45" s="37"/>
    </row>
    <row r="46" spans="1:4">
      <c r="A46" s="39" t="s">
        <v>274</v>
      </c>
      <c r="B46" s="58"/>
      <c r="C46" s="75">
        <v>0</v>
      </c>
    </row>
    <row r="47" spans="1:4">
      <c r="A47" s="83" t="s">
        <v>275</v>
      </c>
      <c r="B47" s="58"/>
      <c r="C47" s="58">
        <v>0</v>
      </c>
    </row>
    <row r="48" spans="1:4">
      <c r="A48" s="41" t="s">
        <v>276</v>
      </c>
      <c r="B48" s="37"/>
      <c r="C48" s="37"/>
    </row>
    <row r="49" spans="1:3">
      <c r="A49" s="39" t="s">
        <v>277</v>
      </c>
      <c r="B49" s="58"/>
      <c r="C49" s="58"/>
    </row>
    <row r="50" spans="1:3">
      <c r="A50" s="39" t="s">
        <v>278</v>
      </c>
      <c r="B50" s="58"/>
      <c r="C50" s="75"/>
    </row>
    <row r="51" spans="1:3">
      <c r="A51" s="39" t="s">
        <v>279</v>
      </c>
      <c r="B51" s="58"/>
      <c r="C51" s="58"/>
    </row>
    <row r="52" spans="1:3">
      <c r="A52" s="39" t="s">
        <v>280</v>
      </c>
      <c r="B52" s="58"/>
      <c r="C52" s="75"/>
    </row>
  </sheetData>
  <mergeCells count="2">
    <mergeCell ref="A11:C11"/>
    <mergeCell ref="A12:C12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zoomScale="80" zoomScaleNormal="80" zoomScalePageLayoutView="80" workbookViewId="0"/>
  </sheetViews>
  <sheetFormatPr baseColWidth="10" defaultColWidth="8.83203125" defaultRowHeight="15" x14ac:dyDescent="0"/>
  <cols>
    <col min="1" max="1" width="30.1640625" bestFit="1" customWidth="1"/>
    <col min="2" max="2" width="42.6640625" bestFit="1" customWidth="1"/>
  </cols>
  <sheetData>
    <row r="1" spans="1:2">
      <c r="A1" s="48" t="s">
        <v>281</v>
      </c>
      <c r="B1" s="39"/>
    </row>
    <row r="2" spans="1:2">
      <c r="A2" s="39"/>
      <c r="B2" s="39"/>
    </row>
    <row r="3" spans="1:2">
      <c r="A3" s="32" t="s">
        <v>30</v>
      </c>
      <c r="B3" s="49" t="str">
        <f>'SCHEDULE 8'!B6</f>
        <v>000595</v>
      </c>
    </row>
    <row r="4" spans="1:2">
      <c r="A4" s="32" t="s">
        <v>32</v>
      </c>
      <c r="B4" s="49">
        <f>'SCHEDULE 8'!B7</f>
        <v>2014</v>
      </c>
    </row>
    <row r="5" spans="1:2">
      <c r="A5" s="32" t="s">
        <v>33</v>
      </c>
      <c r="B5" s="50">
        <f>'SCHEDULE 8'!B8</f>
        <v>41583</v>
      </c>
    </row>
    <row r="6" spans="1:2">
      <c r="A6" s="32" t="s">
        <v>34</v>
      </c>
      <c r="B6" s="50">
        <f>'SCHEDULE 8'!B9</f>
        <v>42004</v>
      </c>
    </row>
    <row r="7" spans="1:2">
      <c r="A7" s="39"/>
      <c r="B7" s="39"/>
    </row>
    <row r="8" spans="1:2">
      <c r="A8" s="95" t="s">
        <v>282</v>
      </c>
      <c r="B8" s="95"/>
    </row>
    <row r="9" spans="1:2">
      <c r="A9" s="67" t="s">
        <v>283</v>
      </c>
      <c r="B9" s="86" t="s">
        <v>9</v>
      </c>
    </row>
    <row r="10" spans="1:2">
      <c r="A10" s="67" t="s">
        <v>284</v>
      </c>
      <c r="B10" s="61" t="s">
        <v>31</v>
      </c>
    </row>
    <row r="11" spans="1:2">
      <c r="A11" s="67" t="s">
        <v>285</v>
      </c>
      <c r="B11" s="87">
        <f>'COMPREHENSIVE INCOME'!B5</f>
        <v>41583</v>
      </c>
    </row>
    <row r="12" spans="1:2">
      <c r="A12" s="67" t="s">
        <v>286</v>
      </c>
      <c r="B12" s="61" t="s">
        <v>287</v>
      </c>
    </row>
    <row r="13" spans="1:2">
      <c r="A13" s="67" t="s">
        <v>288</v>
      </c>
      <c r="B13" s="61" t="s">
        <v>289</v>
      </c>
    </row>
    <row r="14" spans="1:2">
      <c r="A14" s="67" t="s">
        <v>290</v>
      </c>
      <c r="B14" s="61" t="s">
        <v>291</v>
      </c>
    </row>
    <row r="15" spans="1:2">
      <c r="A15" s="67" t="s">
        <v>292</v>
      </c>
      <c r="B15" s="61" t="s">
        <v>293</v>
      </c>
    </row>
    <row r="16" spans="1:2">
      <c r="A16" s="67" t="s">
        <v>294</v>
      </c>
      <c r="B16" s="61">
        <f>'SCHEDULE 8'!C25</f>
        <v>0</v>
      </c>
    </row>
    <row r="17" spans="1:2">
      <c r="A17" s="67" t="s">
        <v>295</v>
      </c>
      <c r="B17" s="61">
        <f>B18+B19</f>
        <v>2</v>
      </c>
    </row>
    <row r="18" spans="1:2">
      <c r="A18" s="67" t="s">
        <v>296</v>
      </c>
      <c r="B18" s="61">
        <v>1</v>
      </c>
    </row>
    <row r="19" spans="1:2">
      <c r="A19" s="67" t="s">
        <v>297</v>
      </c>
      <c r="B19" s="61">
        <v>1</v>
      </c>
    </row>
    <row r="20" spans="1:2">
      <c r="A20" s="67" t="s">
        <v>298</v>
      </c>
      <c r="B20" s="61">
        <v>1</v>
      </c>
    </row>
    <row r="21" spans="1:2">
      <c r="A21" s="67" t="s">
        <v>299</v>
      </c>
      <c r="B21" s="61">
        <v>0</v>
      </c>
    </row>
    <row r="22" spans="1:2">
      <c r="A22" s="67" t="s">
        <v>300</v>
      </c>
      <c r="B22" s="61">
        <v>1</v>
      </c>
    </row>
    <row r="23" spans="1:2">
      <c r="A23" s="67" t="s">
        <v>301</v>
      </c>
      <c r="B23" s="61" t="s">
        <v>160</v>
      </c>
    </row>
    <row r="24" spans="1:2">
      <c r="A24" s="67" t="s">
        <v>302</v>
      </c>
      <c r="B24" s="61" t="s">
        <v>303</v>
      </c>
    </row>
    <row r="25" spans="1:2">
      <c r="A25" s="67" t="s">
        <v>304</v>
      </c>
      <c r="B25" s="61" t="s">
        <v>305</v>
      </c>
    </row>
  </sheetData>
  <mergeCells count="1">
    <mergeCell ref="A8:B8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 SHEET</vt:lpstr>
      <vt:lpstr>COMPREHENSIVE INCOME</vt:lpstr>
      <vt:lpstr>STATEMENT OF FIN POSITION </vt:lpstr>
      <vt:lpstr>SCHEDULE 1 INSIDER LOANS</vt:lpstr>
      <vt:lpstr>SCHEDULE 2 LONG TERM DEBT </vt:lpstr>
      <vt:lpstr>SCHEDULE 3 ASSET QUALITY</vt:lpstr>
      <vt:lpstr>SCHEDULE 4 DISTRIBUTION </vt:lpstr>
      <vt:lpstr>SCHEDULE 5 GENDER DISTRIBUTION </vt:lpstr>
      <vt:lpstr>SCHEDULE 6 MATURITY PROF</vt:lpstr>
      <vt:lpstr>SCHEDULE 7 TOP 20 BORROW  </vt:lpstr>
      <vt:lpstr>SCHEDULE 8</vt:lpstr>
      <vt:lpstr>SCHEDULE 9 CO. PROFILE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SHYLO KETH</dc:creator>
  <cp:lastModifiedBy>Donald Hobbs</cp:lastModifiedBy>
  <cp:revision>0</cp:revision>
  <cp:lastPrinted>2015-01-14T11:03:11Z</cp:lastPrinted>
  <dcterms:created xsi:type="dcterms:W3CDTF">2014-01-30T13:29:53Z</dcterms:created>
  <dcterms:modified xsi:type="dcterms:W3CDTF">2016-10-12T15:44:03Z</dcterms:modified>
  <dc:language>en-GB</dc:language>
</cp:coreProperties>
</file>